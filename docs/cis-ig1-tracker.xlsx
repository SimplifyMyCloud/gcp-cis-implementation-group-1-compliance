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" sheetId="1" state="visible" r:id="rId3"/>
    <sheet name="Summary" sheetId="2" state="visible" r:id="rId4"/>
    <sheet name="How to use" sheetId="3" state="visible" r:id="rId5"/>
  </sheets>
  <definedNames>
    <definedName function="false" hidden="true" localSheetId="0" name="_xlnm._FilterDatabase" vbProcedure="false">Tracker!$A$1:$O$291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<sst xmlns="http://schemas.openxmlformats.org/spreadsheetml/2006/main" count="2522" uniqueCount="937">
  <si>
    <t xml:space="preserve">Control</t>
  </si>
  <si>
    <t xml:space="preserve">Safeguard</t>
  </si>
  <si>
    <t xml:space="preserve">Safeguard Title</t>
  </si>
  <si>
    <t xml:space="preserve">Req ID</t>
  </si>
  <si>
    <t xml:space="preserve">Requirement</t>
  </si>
  <si>
    <t xml:space="preserve">Group</t>
  </si>
  <si>
    <t xml:space="preserve">Scope</t>
  </si>
  <si>
    <t xml:space="preserve">Check</t>
  </si>
  <si>
    <t xml:space="preserve">Not Retroactive</t>
  </si>
  <si>
    <t xml:space="preserve">Status</t>
  </si>
  <si>
    <t xml:space="preserve">Owner</t>
  </si>
  <si>
    <t xml:space="preserve">PR / Ticket</t>
  </si>
  <si>
    <t xml:space="preserve">Raised</t>
  </si>
  <si>
    <t xml:space="preserve">Verified</t>
  </si>
  <si>
    <t xml:space="preserve">Notes</t>
  </si>
  <si>
    <t xml:space="preserve">Control 01 — Inventory and Control of Enterprise Assets</t>
  </si>
  <si>
    <t xml:space="preserve">1.1</t>
  </si>
  <si>
    <t xml:space="preserve">Establish and Maintain Detailed Enterprise Asset Inventory</t>
  </si>
  <si>
    <t xml:space="preserve">1.1#1</t>
  </si>
  <si>
    <t xml:space="preserve">Cloud Asset Inventory feed configured at organization scope</t>
  </si>
  <si>
    <t xml:space="preserve">CLI + human review</t>
  </si>
  <si>
    <t xml:space="preserve">org</t>
  </si>
  <si>
    <t xml:space="preserve">V1</t>
  </si>
  <si>
    <t xml:space="preserve">Not started</t>
  </si>
  <si>
    <t xml:space="preserve">1.1#2</t>
  </si>
  <si>
    <t xml:space="preserve">Feed exports to BigQuery or Cloud Storage on a scheduled basis</t>
  </si>
  <si>
    <t xml:space="preserve">V2</t>
  </si>
  <si>
    <t xml:space="preserve">1.1#3</t>
  </si>
  <si>
    <t xml:space="preserve">All projects enumerated, including those created flat under the org node</t>
  </si>
  <si>
    <t xml:space="preserve">V3</t>
  </si>
  <si>
    <t xml:space="preserve">1.1#4</t>
  </si>
  <si>
    <t xml:space="preserve">Inventory covers Compute Engine, GKE, Cloud SQL, Cloud Run, Cloud Functions, App Engine, Cloud Storage</t>
  </si>
  <si>
    <t xml:space="preserve">V4</t>
  </si>
  <si>
    <t xml:space="preserve">1.1#5</t>
  </si>
  <si>
    <t xml:space="preserve">Required labels enforced (owner, environment, cost centre, data classification)</t>
  </si>
  <si>
    <t xml:space="preserve">Automated</t>
  </si>
  <si>
    <t xml:space="preserve">V5</t>
  </si>
  <si>
    <t xml:space="preserve">1.1#6</t>
  </si>
  <si>
    <t xml:space="preserve">Shared VPC host and service project relationships mapped</t>
  </si>
  <si>
    <t xml:space="preserve">project</t>
  </si>
  <si>
    <t xml:space="preserve">V6</t>
  </si>
  <si>
    <t xml:space="preserve">1.1#7</t>
  </si>
  <si>
    <t xml:space="preserve">Inventory reviewed and recertified at least every six months</t>
  </si>
  <si>
    <t xml:space="preserve">GCP manual</t>
  </si>
  <si>
    <t xml:space="preserve">1.2</t>
  </si>
  <si>
    <t xml:space="preserve">Address Unauthorized Assets</t>
  </si>
  <si>
    <t xml:space="preserve">1.2#1</t>
  </si>
  <si>
    <t xml:space="preserve">Documented process for resources found without an owner or approval</t>
  </si>
  <si>
    <t xml:space="preserve">1.2#2</t>
  </si>
  <si>
    <t xml:space="preserve">Projects with no billing account or in DELETE_REQUESTED state dispositioned</t>
  </si>
  <si>
    <t xml:space="preserve">V7</t>
  </si>
  <si>
    <t xml:space="preserve">1.2#3</t>
  </si>
  <si>
    <t xml:space="preserve">Orphaned resources reconciled (unattached disks, unused static IPs, idle forwarding rules)</t>
  </si>
  <si>
    <t xml:space="preserve">V8</t>
  </si>
  <si>
    <t xml:space="preserve">1.2#4</t>
  </si>
  <si>
    <t xml:space="preserve">Unlabelled or unattributable resources escalated within a defined window</t>
  </si>
  <si>
    <t xml:space="preserve">1.2#5</t>
  </si>
  <si>
    <t xml:space="preserve">Remediation actions recorded (removed, quarantined, or formally accepted)</t>
  </si>
  <si>
    <t xml:space="preserve">Control 02 — Inventory and Control of Software Assets</t>
  </si>
  <si>
    <t xml:space="preserve">2.1</t>
  </si>
  <si>
    <t xml:space="preserve">Establish and Maintain a Software Inventory</t>
  </si>
  <si>
    <t xml:space="preserve">2.1#1</t>
  </si>
  <si>
    <t xml:space="preserve">VM Manager OS inventory enabled; OS Config agent present on all Compute Engine instances</t>
  </si>
  <si>
    <t xml:space="preserve">V9</t>
  </si>
  <si>
    <t xml:space="preserve">2.1#2</t>
  </si>
  <si>
    <t xml:space="preserve">Custom image and image family catalogue maintained with build provenance</t>
  </si>
  <si>
    <t xml:space="preserve">V10</t>
  </si>
  <si>
    <t xml:space="preserve">2.1#3</t>
  </si>
  <si>
    <t xml:space="preserve">Artifact Registry / Container Registry image inventory captured</t>
  </si>
  <si>
    <t xml:space="preserve">V11</t>
  </si>
  <si>
    <t xml:space="preserve">2.1#4</t>
  </si>
  <si>
    <t xml:space="preserve">GKE cluster and node pool versions recorded</t>
  </si>
  <si>
    <t xml:space="preserve">V12</t>
  </si>
  <si>
    <t xml:space="preserve">2.1#5</t>
  </si>
  <si>
    <t xml:space="preserve">Cloud Functions, Cloud Run, and App Engine runtime versions recorded</t>
  </si>
  <si>
    <t xml:space="preserve">V13</t>
  </si>
  <si>
    <t xml:space="preserve">2.1#6</t>
  </si>
  <si>
    <t xml:space="preserve">Cloud SQL engine and version recorded per instance</t>
  </si>
  <si>
    <t xml:space="preserve">V14</t>
  </si>
  <si>
    <t xml:space="preserve">2.1#7</t>
  </si>
  <si>
    <t xml:space="preserve">Inventory refreshed automatically, not by manual survey</t>
  </si>
  <si>
    <t xml:space="preserve">Process &amp; people</t>
  </si>
  <si>
    <t xml:space="preserve">2.2</t>
  </si>
  <si>
    <t xml:space="preserve">Ensure Authorized Software is Currently Supported</t>
  </si>
  <si>
    <t xml:space="preserve">2.2#1</t>
  </si>
  <si>
    <t xml:space="preserve">No instances running end-of-life guest OS (CentOS 7, Debian 9/10, out-of-window Ubuntu)</t>
  </si>
  <si>
    <t xml:space="preserve">V15</t>
  </si>
  <si>
    <t xml:space="preserve">2.2#2</t>
  </si>
  <si>
    <t xml:space="preserve">No GKE clusters on versions past end-of-life; all enrolled in a release channel</t>
  </si>
  <si>
    <t xml:space="preserve">V16</t>
  </si>
  <si>
    <t xml:space="preserve">2.2#3</t>
  </si>
  <si>
    <t xml:space="preserve">No Cloud Functions or App Engine services on decommissioned runtimes</t>
  </si>
  <si>
    <t xml:space="preserve">V17</t>
  </si>
  <si>
    <t xml:space="preserve">2.2#4</t>
  </si>
  <si>
    <t xml:space="preserve">No Cloud SQL instances on unsupported database versions</t>
  </si>
  <si>
    <t xml:space="preserve">V18</t>
  </si>
  <si>
    <t xml:space="preserve">2.2#5</t>
  </si>
  <si>
    <t xml:space="preserve">Deprecated custom images not referenced by any instance template or MIG</t>
  </si>
  <si>
    <t xml:space="preserve">V19</t>
  </si>
  <si>
    <t xml:space="preserve">2.2#6</t>
  </si>
  <si>
    <t xml:space="preserve">Exception register for unsupported software with documented compensating controls</t>
  </si>
  <si>
    <t xml:space="preserve">2.3</t>
  </si>
  <si>
    <t xml:space="preserve">Address Unauthorized Software</t>
  </si>
  <si>
    <t xml:space="preserve">2.3#1</t>
  </si>
  <si>
    <t xml:space="preserve">Documented process for removing unapproved software from the environment</t>
  </si>
  <si>
    <t xml:space="preserve">2.3#2</t>
  </si>
  <si>
    <t xml:space="preserve">Marketplace deployment restricted to approved solutions</t>
  </si>
  <si>
    <t xml:space="preserve">2.3#3</t>
  </si>
  <si>
    <t xml:space="preserve">Container images sourced only from approved registries</t>
  </si>
  <si>
    <t xml:space="preserve">V20</t>
  </si>
  <si>
    <t xml:space="preserve">2.3#4</t>
  </si>
  <si>
    <t xml:space="preserve">Binary Authorization policy in place for GKE / Cloud Run (or a documented equivalent gate)</t>
  </si>
  <si>
    <t xml:space="preserve">V21</t>
  </si>
  <si>
    <t xml:space="preserve">2.3#5</t>
  </si>
  <si>
    <t xml:space="preserve">workloads already running unattested identified and rolled</t>
  </si>
  <si>
    <t xml:space="preserve">V22</t>
  </si>
  <si>
    <t xml:space="preserve">Yes</t>
  </si>
  <si>
    <t xml:space="preserve">2.3#6</t>
  </si>
  <si>
    <t xml:space="preserve">Findings tracked to closure with a defined remediation window</t>
  </si>
  <si>
    <t xml:space="preserve">Control 03 — Data Protection</t>
  </si>
  <si>
    <t xml:space="preserve">3.1</t>
  </si>
  <si>
    <t xml:space="preserve">Establish and Maintain a Data Management Process</t>
  </si>
  <si>
    <t xml:space="preserve">3.1#1</t>
  </si>
  <si>
    <t xml:space="preserve">Written data management process covering sensitivity, ownership, handling, retention, disposal</t>
  </si>
  <si>
    <t xml:space="preserve">3.1#2</t>
  </si>
  <si>
    <t xml:space="preserve">Process references GCP storage services in use</t>
  </si>
  <si>
    <t xml:space="preserve">3.1#3</t>
  </si>
  <si>
    <t xml:space="preserve">Data residency requirements defined and mapped to regions</t>
  </si>
  <si>
    <t xml:space="preserve">V23</t>
  </si>
  <si>
    <t xml:space="preserve">3.1#4</t>
  </si>
  <si>
    <t xml:space="preserve">Reviewed annually with review date recorded</t>
  </si>
  <si>
    <t xml:space="preserve">3.2</t>
  </si>
  <si>
    <t xml:space="preserve">Establish and Maintain a Data Inventory</t>
  </si>
  <si>
    <t xml:space="preserve">3.2#1</t>
  </si>
  <si>
    <t xml:space="preserve">Sensitive Data Protection (Cloud DLP) discovery configured across Cloud Storage and BigQuery</t>
  </si>
  <si>
    <t xml:space="preserve">V24</t>
  </si>
  <si>
    <t xml:space="preserve">3.2#2</t>
  </si>
  <si>
    <t xml:space="preserve">Cloud SQL and other data stores included in the inventory</t>
  </si>
  <si>
    <t xml:space="preserve">3.2#3</t>
  </si>
  <si>
    <t xml:space="preserve">Sensitivity classification recorded as resource labels or in a central register</t>
  </si>
  <si>
    <t xml:space="preserve">V25</t>
  </si>
  <si>
    <t xml:space="preserve">3.2#4</t>
  </si>
  <si>
    <t xml:space="preserve">Data location recorded per store for residency verification</t>
  </si>
  <si>
    <t xml:space="preserve">V26</t>
  </si>
  <si>
    <t xml:space="preserve">3.2#5</t>
  </si>
  <si>
    <t xml:space="preserve">Inventory refreshed on a defined schedule</t>
  </si>
  <si>
    <t xml:space="preserve">3.3</t>
  </si>
  <si>
    <t xml:space="preserve">Configure Data Access Control Lists</t>
  </si>
  <si>
    <t xml:space="preserve">3.3#1</t>
  </si>
  <si>
    <t xml:space="preserve">No Cloud Storage buckets granting allUsers or allAuthenticatedUsers</t>
  </si>
  <si>
    <t xml:space="preserve">V27</t>
  </si>
  <si>
    <t xml:space="preserve">3.3#2</t>
  </si>
  <si>
    <t xml:space="preserve">constraints/storage.publicAccessPrevention enforced at org level</t>
  </si>
  <si>
    <t xml:space="preserve">V28</t>
  </si>
  <si>
    <t xml:space="preserve">3.3#3</t>
  </si>
  <si>
    <t xml:space="preserve">all currently public buckets and datasets found and remediated</t>
  </si>
  <si>
    <t xml:space="preserve">V29</t>
  </si>
  <si>
    <t xml:space="preserve">3.3#4</t>
  </si>
  <si>
    <t xml:space="preserve">all buckets migrated off legacy per-object ACLs</t>
  </si>
  <si>
    <t xml:space="preserve">V30</t>
  </si>
  <si>
    <t xml:space="preserve">3.3#5</t>
  </si>
  <si>
    <t xml:space="preserve">all pre-existing external-domain IAM grants reviewed and removed</t>
  </si>
  <si>
    <t xml:space="preserve">V31</t>
  </si>
  <si>
    <t xml:space="preserve">3.3#6</t>
  </si>
  <si>
    <t xml:space="preserve">constraints/storage.uniformBucketLevelAccess enforced; legacy object ACLs retired</t>
  </si>
  <si>
    <t xml:space="preserve">V32</t>
  </si>
  <si>
    <t xml:space="preserve">3.3#7</t>
  </si>
  <si>
    <t xml:space="preserve">No BigQuery datasets shared to allUsers or allAuthenticatedUsers</t>
  </si>
  <si>
    <t xml:space="preserve">V33</t>
  </si>
  <si>
    <t xml:space="preserve">3.3#8</t>
  </si>
  <si>
    <t xml:space="preserve">Access granted via groups and predefined/custom roles, not basic roles</t>
  </si>
  <si>
    <t xml:space="preserve">V34</t>
  </si>
  <si>
    <t xml:space="preserve">3.3#9</t>
  </si>
  <si>
    <t xml:space="preserve">constraints/iam.allowedPolicyMemberDomains enforced at org level</t>
  </si>
  <si>
    <t xml:space="preserve">V35</t>
  </si>
  <si>
    <t xml:space="preserve">3.3#10</t>
  </si>
  <si>
    <t xml:space="preserve">VPC Service Controls perimeters around projects holding regulated data</t>
  </si>
  <si>
    <t xml:space="preserve">V36</t>
  </si>
  <si>
    <t xml:space="preserve">3.3#11</t>
  </si>
  <si>
    <t xml:space="preserve">Access reviewed on a defined cadence with evidence retained</t>
  </si>
  <si>
    <t xml:space="preserve">3.4</t>
  </si>
  <si>
    <t xml:space="preserve">Enforce Data Retention</t>
  </si>
  <si>
    <t xml:space="preserve">3.4#1</t>
  </si>
  <si>
    <t xml:space="preserve">Retention periods defined per data class and documented</t>
  </si>
  <si>
    <t xml:space="preserve">3.4#2</t>
  </si>
  <si>
    <t xml:space="preserve">Object Lifecycle Management rules applied to Cloud Storage buckets</t>
  </si>
  <si>
    <t xml:space="preserve">V37</t>
  </si>
  <si>
    <t xml:space="preserve">3.4#3</t>
  </si>
  <si>
    <t xml:space="preserve">BigQuery default table and partition expiration configured on datasets</t>
  </si>
  <si>
    <t xml:space="preserve">V38</t>
  </si>
  <si>
    <t xml:space="preserve">3.4#4</t>
  </si>
  <si>
    <t xml:space="preserve">Cloud SQL backup retention windows set to the defined period</t>
  </si>
  <si>
    <t xml:space="preserve">V39</t>
  </si>
  <si>
    <t xml:space="preserve">3.4#5</t>
  </si>
  <si>
    <t xml:space="preserve">Log bucket retention set explicitly (not left at the _Default 30 days)</t>
  </si>
  <si>
    <t xml:space="preserve">V40</t>
  </si>
  <si>
    <t xml:space="preserve">3.4#6</t>
  </si>
  <si>
    <t xml:space="preserve">Buckets and datasets with no retention rule identified and remediated</t>
  </si>
  <si>
    <t xml:space="preserve">V41</t>
  </si>
  <si>
    <t xml:space="preserve">3.5</t>
  </si>
  <si>
    <t xml:space="preserve">Securely Dispose of Data</t>
  </si>
  <si>
    <t xml:space="preserve">3.5#1</t>
  </si>
  <si>
    <t xml:space="preserve">Documented disposal process for each storage service in use</t>
  </si>
  <si>
    <t xml:space="preserve">3.5#2</t>
  </si>
  <si>
    <t xml:space="preserve">Cloud Storage soft delete / versioning retention understood and accounted for in disposal</t>
  </si>
  <si>
    <t xml:space="preserve">V42</t>
  </si>
  <si>
    <t xml:space="preserve">3.5#3</t>
  </si>
  <si>
    <t xml:space="preserve">CMEK key destruction procedure documented where crypto-shredding is the disposal method</t>
  </si>
  <si>
    <t xml:space="preserve">3.5#4</t>
  </si>
  <si>
    <t xml:space="preserve">Snapshots, images, and backups included in disposal scope, not just live data</t>
  </si>
  <si>
    <t xml:space="preserve">3.5#5</t>
  </si>
  <si>
    <t xml:space="preserve">Project deletion procedure includes verification that data is unrecoverable after the recovery window</t>
  </si>
  <si>
    <t xml:space="preserve">3.5#6</t>
  </si>
  <si>
    <t xml:space="preserve">Disposal actions logged and evidenced</t>
  </si>
  <si>
    <t xml:space="preserve">Control 04 — Secure Configuration of Enterprise Assets and Software</t>
  </si>
  <si>
    <t xml:space="preserve">4.1</t>
  </si>
  <si>
    <t xml:space="preserve">Establish and Maintain a Secure Configuration Process</t>
  </si>
  <si>
    <t xml:space="preserve">4.1#1</t>
  </si>
  <si>
    <t xml:space="preserve">Written secure configuration baseline for GCP resources</t>
  </si>
  <si>
    <t xml:space="preserve">4.1#2</t>
  </si>
  <si>
    <t xml:space="preserve">Baseline enforced through Organization Policy constraints at the org node</t>
  </si>
  <si>
    <t xml:space="preserve">V43</t>
  </si>
  <si>
    <t xml:space="preserve">4.1#3</t>
  </si>
  <si>
    <t xml:space="preserve">Constraints applied in dry-run first, violations triaged, then enforced</t>
  </si>
  <si>
    <t xml:space="preserve">V44</t>
  </si>
  <si>
    <t xml:space="preserve">4.1#4</t>
  </si>
  <si>
    <t xml:space="preserve">Infrastructure provisioned via infrastructure-as-code, not console clickops</t>
  </si>
  <si>
    <t xml:space="preserve">4.1#5</t>
  </si>
  <si>
    <t xml:space="preserve">Drift detection running against declared state</t>
  </si>
  <si>
    <t xml:space="preserve">4.1#6</t>
  </si>
  <si>
    <t xml:space="preserve">Security Command Center enabled at org scope for continuous posture assessment</t>
  </si>
  <si>
    <t xml:space="preserve">V45</t>
  </si>
  <si>
    <t xml:space="preserve">4.1#7</t>
  </si>
  <si>
    <t xml:space="preserve">Baseline reviewed annually</t>
  </si>
  <si>
    <t xml:space="preserve">4.2</t>
  </si>
  <si>
    <t xml:space="preserve">Establish and Maintain a Secure Configuration Process for Network Infrastructure</t>
  </si>
  <si>
    <t xml:space="preserve">4.2#1</t>
  </si>
  <si>
    <t xml:space="preserve">Default VPC network removed from all projects</t>
  </si>
  <si>
    <t xml:space="preserve">V46</t>
  </si>
  <si>
    <t xml:space="preserve">4.2#2</t>
  </si>
  <si>
    <t xml:space="preserve">constraints/compute.skipDefaultNetworkCreation enforced</t>
  </si>
  <si>
    <t xml:space="preserve">V47</t>
  </si>
  <si>
    <t xml:space="preserve">4.2#3</t>
  </si>
  <si>
    <t xml:space="preserve">default network deleted from every existing project</t>
  </si>
  <si>
    <t xml:space="preserve">V48</t>
  </si>
  <si>
    <t xml:space="preserve">4.2#4</t>
  </si>
  <si>
    <t xml:space="preserve">legacy and auto-mode VPCs identified and converted</t>
  </si>
  <si>
    <t xml:space="preserve">V49</t>
  </si>
  <si>
    <t xml:space="preserve">4.2#5</t>
  </si>
  <si>
    <t xml:space="preserve">Default firewall rules deleted (default-allow-ssh, default-allow-rdp, default-allow-icmp, default-allow-internal)</t>
  </si>
  <si>
    <t xml:space="preserve">V50</t>
  </si>
  <si>
    <t xml:space="preserve">4.2#6</t>
  </si>
  <si>
    <t xml:space="preserve">Auto-mode VPCs converted to custom-mode; no legacy networks remain</t>
  </si>
  <si>
    <t xml:space="preserve">V51</t>
  </si>
  <si>
    <t xml:space="preserve">4.2#7</t>
  </si>
  <si>
    <t xml:space="preserve">Documented network baseline covering subnets, routes, peering, and firewall standards</t>
  </si>
  <si>
    <t xml:space="preserve">4.2#8</t>
  </si>
  <si>
    <t xml:space="preserve">constraints/compute.restrictVpcPeering and Shared VPC constraints applied as required</t>
  </si>
  <si>
    <t xml:space="preserve">V52</t>
  </si>
  <si>
    <t xml:space="preserve">4.2#9</t>
  </si>
  <si>
    <t xml:space="preserve">Firewall rules logging enabled on rules governing sensitive paths</t>
  </si>
  <si>
    <t xml:space="preserve">V53</t>
  </si>
  <si>
    <t xml:space="preserve">4.3</t>
  </si>
  <si>
    <t xml:space="preserve">Configure Automatic Session Locking on Enterprise Assets</t>
  </si>
  <si>
    <t xml:space="preserve">4.3#1</t>
  </si>
  <si>
    <t xml:space="preserve">Google Cloud session length configured in Admin Console (reauthentication frequency set, not "never")</t>
  </si>
  <si>
    <t xml:space="preserve">4.3#2</t>
  </si>
  <si>
    <t xml:space="preserve">Reauthentication policy applied to Google Cloud CLI and API access</t>
  </si>
  <si>
    <t xml:space="preserve">4.3#3</t>
  </si>
  <si>
    <t xml:space="preserve">IAP session duration configured for IAP-protected resources</t>
  </si>
  <si>
    <t xml:space="preserve">V54</t>
  </si>
  <si>
    <t xml:space="preserve">4.3#4</t>
  </si>
  <si>
    <t xml:space="preserve">Shell idle timeout set in the baked VM image for interactive sessions</t>
  </si>
  <si>
    <t xml:space="preserve">4.4</t>
  </si>
  <si>
    <t xml:space="preserve">Implement and Manage a Firewall on Servers</t>
  </si>
  <si>
    <t xml:space="preserve">4.4#1</t>
  </si>
  <si>
    <t xml:space="preserve">No firewall rules permitting 0.0.0.0/0 to TCP 22 or TCP 3389</t>
  </si>
  <si>
    <t xml:space="preserve">V55</t>
  </si>
  <si>
    <t xml:space="preserve">4.4#2</t>
  </si>
  <si>
    <t xml:space="preserve">No firewall rules permitting 0.0.0.0/0 to database ports (3306, 5432, 1433, 27017, 6379)</t>
  </si>
  <si>
    <t xml:space="preserve">V56</t>
  </si>
  <si>
    <t xml:space="preserve">4.4#3</t>
  </si>
  <si>
    <t xml:space="preserve">Default-deny ingress posture with explicit allow rules</t>
  </si>
  <si>
    <t xml:space="preserve">V57</t>
  </si>
  <si>
    <t xml:space="preserve">4.4#4</t>
  </si>
  <si>
    <t xml:space="preserve">Egress rules constrained rather than default allow-all</t>
  </si>
  <si>
    <t xml:space="preserve">V58</t>
  </si>
  <si>
    <t xml:space="preserve">4.4#5</t>
  </si>
  <si>
    <t xml:space="preserve">Rules scoped by network tag or service account rather than broad IP ranges</t>
  </si>
  <si>
    <t xml:space="preserve">V59</t>
  </si>
  <si>
    <t xml:space="preserve">4.4#6</t>
  </si>
  <si>
    <t xml:space="preserve">Cloud SQL public IP disabled (constraints/sql.restrictPublicIp); authorized networks not 0.0.0.0/0</t>
  </si>
  <si>
    <t xml:space="preserve">V60</t>
  </si>
  <si>
    <t xml:space="preserve">4.4#7</t>
  </si>
  <si>
    <t xml:space="preserve">existing Cloud SQL instances with public IP remediated</t>
  </si>
  <si>
    <t xml:space="preserve">V61</t>
  </si>
  <si>
    <t xml:space="preserve">4.4#8</t>
  </si>
  <si>
    <t xml:space="preserve">existing firewall rules exposing 22/3389/DB ports to 0.0.0.0/0 removed</t>
  </si>
  <si>
    <t xml:space="preserve">V62</t>
  </si>
  <si>
    <t xml:space="preserve">4.4#9</t>
  </si>
  <si>
    <t xml:space="preserve">GKE control plane authorized networks configured; private clusters in use</t>
  </si>
  <si>
    <t xml:space="preserve">V63</t>
  </si>
  <si>
    <t xml:space="preserve">4.4#10</t>
  </si>
  <si>
    <t xml:space="preserve">Cloud Armor policies applied to externally exposed load balancers</t>
  </si>
  <si>
    <t xml:space="preserve">V64</t>
  </si>
  <si>
    <t xml:space="preserve">4.6</t>
  </si>
  <si>
    <t xml:space="preserve">Securely Manage Enterprise Assets and Software</t>
  </si>
  <si>
    <t xml:space="preserve">4.6#1</t>
  </si>
  <si>
    <t xml:space="preserve">OS Login enforced org-wide (constraints/compute.requireOsLogin); project-wide SSH keys retired</t>
  </si>
  <si>
    <t xml:space="preserve">V65</t>
  </si>
  <si>
    <t xml:space="preserve">4.6#2</t>
  </si>
  <si>
    <t xml:space="preserve">existing VMs without OS Login identified and remediated</t>
  </si>
  <si>
    <t xml:space="preserve">V66</t>
  </si>
  <si>
    <t xml:space="preserve">4.6#3</t>
  </si>
  <si>
    <t xml:space="preserve">project-wide SSH keys removed from every existing project</t>
  </si>
  <si>
    <t xml:space="preserve">V67</t>
  </si>
  <si>
    <t xml:space="preserve">4.6#4</t>
  </si>
  <si>
    <t xml:space="preserve">existing VMs with external IPs migrated behind IAP</t>
  </si>
  <si>
    <t xml:space="preserve">V68</t>
  </si>
  <si>
    <t xml:space="preserve">4.6#5</t>
  </si>
  <si>
    <t xml:space="preserve">existing non-Shielded VMs replaced (requires stop or rebuild)</t>
  </si>
  <si>
    <t xml:space="preserve">V69</t>
  </si>
  <si>
    <t xml:space="preserve">4.6#6</t>
  </si>
  <si>
    <t xml:space="preserve">Serial port access disabled (constraints/compute.disableSerialPortAccess)</t>
  </si>
  <si>
    <t xml:space="preserve">V70</t>
  </si>
  <si>
    <t xml:space="preserve">4.6#7</t>
  </si>
  <si>
    <t xml:space="preserve">External IPs restricted (constraints/compute.vmExternalIpAccess)</t>
  </si>
  <si>
    <t xml:space="preserve">V71</t>
  </si>
  <si>
    <t xml:space="preserve">4.6#8</t>
  </si>
  <si>
    <t xml:space="preserve">IAP TCP forwarding used for SSH/RDP; no public-IP bastion hosts</t>
  </si>
  <si>
    <t xml:space="preserve">V72</t>
  </si>
  <si>
    <t xml:space="preserve">4.6#9</t>
  </si>
  <si>
    <t xml:space="preserve">Shielded VM enforced (constraints/compute.requireShieldedVm)</t>
  </si>
  <si>
    <t xml:space="preserve">V73</t>
  </si>
  <si>
    <t xml:space="preserve">4.6#10</t>
  </si>
  <si>
    <t xml:space="preserve">IP forwarding restricted (constraints/compute.vmCanIpForward)</t>
  </si>
  <si>
    <t xml:space="preserve">V74</t>
  </si>
  <si>
    <t xml:space="preserve">4.6#11</t>
  </si>
  <si>
    <t xml:space="preserve">GKE hardening: Workload Identity on, legacy ABAC off, basic auth off, client cert auth off, legacy metadata endpoints off, Shielded GKE nodes on</t>
  </si>
  <si>
    <t xml:space="preserve">V75</t>
  </si>
  <si>
    <t xml:space="preserve">4.6#12</t>
  </si>
  <si>
    <t xml:space="preserve">Administrative changes made through IaC pipelines with review, not ad hoc console access</t>
  </si>
  <si>
    <t xml:space="preserve">4.6#13</t>
  </si>
  <si>
    <t xml:space="preserve">Secrets held in Secret Manager, not in instance metadata, environment variables, or repositories</t>
  </si>
  <si>
    <t xml:space="preserve">V76</t>
  </si>
  <si>
    <t xml:space="preserve">4.7</t>
  </si>
  <si>
    <t xml:space="preserve">Manage Default Accounts on Enterprise Assets and Software</t>
  </si>
  <si>
    <t xml:space="preserve">4.7#1</t>
  </si>
  <si>
    <t xml:space="preserve">Default Compute Engine service account stripped of roles/editor in every project</t>
  </si>
  <si>
    <t xml:space="preserve">V77</t>
  </si>
  <si>
    <t xml:space="preserve">4.7#2</t>
  </si>
  <si>
    <t xml:space="preserve">Default App Engine service account privileges reduced</t>
  </si>
  <si>
    <t xml:space="preserve">V78</t>
  </si>
  <si>
    <t xml:space="preserve">4.7#3</t>
  </si>
  <si>
    <t xml:space="preserve">constraints/iam.automaticIamGrantsForDefaultServiceAccounts enforced</t>
  </si>
  <si>
    <t xml:space="preserve">V79</t>
  </si>
  <si>
    <t xml:space="preserve">4.7#4</t>
  </si>
  <si>
    <t xml:space="preserve">roles/editor stripped from default service accounts in every existing project</t>
  </si>
  <si>
    <t xml:space="preserve">V80</t>
  </si>
  <si>
    <t xml:space="preserve">4.7#5</t>
  </si>
  <si>
    <t xml:space="preserve">workloads still running as a default service account migrated</t>
  </si>
  <si>
    <t xml:space="preserve">V81</t>
  </si>
  <si>
    <t xml:space="preserve">4.7#6</t>
  </si>
  <si>
    <t xml:space="preserve">Workloads run as purpose-built service accounts, not the default</t>
  </si>
  <si>
    <t xml:space="preserve">V82</t>
  </si>
  <si>
    <t xml:space="preserve">4.7#7</t>
  </si>
  <si>
    <t xml:space="preserve">Default GKE node service account replaced or scoped down</t>
  </si>
  <si>
    <t xml:space="preserve">V83</t>
  </si>
  <si>
    <t xml:space="preserve">4.7#8</t>
  </si>
  <si>
    <t xml:space="preserve">Cloud SQL default database users reviewed and passwords rotated</t>
  </si>
  <si>
    <t xml:space="preserve">V84</t>
  </si>
  <si>
    <t xml:space="preserve">4.7#9</t>
  </si>
  <si>
    <t xml:space="preserve">Default network and default firewall rules removed (cross-reference 4.2)</t>
  </si>
  <si>
    <t xml:space="preserve">V85</t>
  </si>
  <si>
    <t xml:space="preserve">Control 05 — Account Management</t>
  </si>
  <si>
    <t xml:space="preserve">5.1</t>
  </si>
  <si>
    <t xml:space="preserve">Establish and Maintain an Inventory of Accounts</t>
  </si>
  <si>
    <t xml:space="preserve">5.1#1</t>
  </si>
  <si>
    <t xml:space="preserve">Full IAM principal inventory across org, folder, project, and resource-level bindings</t>
  </si>
  <si>
    <t xml:space="preserve">V86</t>
  </si>
  <si>
    <t xml:space="preserve">5.1#2</t>
  </si>
  <si>
    <t xml:space="preserve">Conditional IAM bindings included in the inventory</t>
  </si>
  <si>
    <t xml:space="preserve">V87</t>
  </si>
  <si>
    <t xml:space="preserve">5.1#3</t>
  </si>
  <si>
    <t xml:space="preserve">Service account inventory maintained with owner and purpose per account</t>
  </si>
  <si>
    <t xml:space="preserve">V88</t>
  </si>
  <si>
    <t xml:space="preserve">5.1#4</t>
  </si>
  <si>
    <t xml:space="preserve">Super admin accounts in Cloud Identity / Workspace enumerated and justified</t>
  </si>
  <si>
    <t xml:space="preserve">5.1#5</t>
  </si>
  <si>
    <t xml:space="preserve">External (non-domain) principals with any binding identified</t>
  </si>
  <si>
    <t xml:space="preserve">V89</t>
  </si>
  <si>
    <t xml:space="preserve">5.1#6</t>
  </si>
  <si>
    <t xml:space="preserve">Inventory generated automatically and reviewed at least every six months</t>
  </si>
  <si>
    <t xml:space="preserve">5.2</t>
  </si>
  <si>
    <t xml:space="preserve">Use Unique Passwords</t>
  </si>
  <si>
    <t xml:space="preserve">5.2#1</t>
  </si>
  <si>
    <t xml:space="preserve">No shared or generic human accounts in Cloud Identity / Workspace</t>
  </si>
  <si>
    <t xml:space="preserve">5.2#2</t>
  </si>
  <si>
    <t xml:space="preserve">constraints/iam.disableServiceAccountKeyCreation enforced at org level</t>
  </si>
  <si>
    <t xml:space="preserve">V90</t>
  </si>
  <si>
    <t xml:space="preserve">5.2#3</t>
  </si>
  <si>
    <t xml:space="preserve">every pre-existing user-managed key inventoried — *this is the actual exposure, not new key creation*</t>
  </si>
  <si>
    <t xml:space="preserve">V91</t>
  </si>
  <si>
    <t xml:space="preserve">5.2#4</t>
  </si>
  <si>
    <t xml:space="preserve">unused keys deleted; in-use keys replaced with federation and then deleted</t>
  </si>
  <si>
    <t xml:space="preserve">V92</t>
  </si>
  <si>
    <t xml:space="preserve">5.2#5</t>
  </si>
  <si>
    <t xml:space="preserve">Existing user-managed service account keys inventoried, aged, and eliminated</t>
  </si>
  <si>
    <t xml:space="preserve">V93</t>
  </si>
  <si>
    <t xml:space="preserve">5.2#6</t>
  </si>
  <si>
    <t xml:space="preserve">Workload Identity Federation / Workload Identity used in place of exported key files</t>
  </si>
  <si>
    <t xml:space="preserve">V94</t>
  </si>
  <si>
    <t xml:space="preserve">5.2#7</t>
  </si>
  <si>
    <t xml:space="preserve">Any remaining static credentials stored in Secret Manager with rotation configured</t>
  </si>
  <si>
    <t xml:space="preserve">V95</t>
  </si>
  <si>
    <t xml:space="preserve">5.2#8</t>
  </si>
  <si>
    <t xml:space="preserve">Break-glass credentials uniquely held, sealed, and their use alerted on</t>
  </si>
  <si>
    <t xml:space="preserve">5.3</t>
  </si>
  <si>
    <t xml:space="preserve">Disable Dormant Accounts</t>
  </si>
  <si>
    <t xml:space="preserve">5.3#1</t>
  </si>
  <si>
    <t xml:space="preserve">Dormancy threshold defined (e.g. 45 days without authentication)</t>
  </si>
  <si>
    <t xml:space="preserve">5.3#2</t>
  </si>
  <si>
    <t xml:space="preserve">Human account activity assessed via Cloud Audit Logs / Admin Console reports</t>
  </si>
  <si>
    <t xml:space="preserve">V96</t>
  </si>
  <si>
    <t xml:space="preserve">5.3#3</t>
  </si>
  <si>
    <t xml:space="preserve">Service account activity assessed via IAM activity analyser and authentication logs</t>
  </si>
  <si>
    <t xml:space="preserve">V97</t>
  </si>
  <si>
    <t xml:space="preserve">5.3#4</t>
  </si>
  <si>
    <t xml:space="preserve">Unused service accounts disabled before deletion, then deleted</t>
  </si>
  <si>
    <t xml:space="preserve">V98</t>
  </si>
  <si>
    <t xml:space="preserve">5.3#5</t>
  </si>
  <si>
    <t xml:space="preserve">Dormant account review runs on a recurring schedule, not on request</t>
  </si>
  <si>
    <t xml:space="preserve">5.3#6</t>
  </si>
  <si>
    <t xml:space="preserve">Departed-employee bindings removed as part of the leaver process</t>
  </si>
  <si>
    <t xml:space="preserve">5.4</t>
  </si>
  <si>
    <t xml:space="preserve">Restrict Administrator Privileges to Dedicated Administrator Accounts</t>
  </si>
  <si>
    <t xml:space="preserve">5.4#1</t>
  </si>
  <si>
    <t xml:space="preserve">No roles/owner or roles/editor granted to individual users at org or folder level</t>
  </si>
  <si>
    <t xml:space="preserve">V99</t>
  </si>
  <si>
    <t xml:space="preserve">5.4#2</t>
  </si>
  <si>
    <t xml:space="preserve">all pre-existing basic-role grants to individuals enumerated and replaced</t>
  </si>
  <si>
    <t xml:space="preserve">V100</t>
  </si>
  <si>
    <t xml:space="preserve">5.4#3</t>
  </si>
  <si>
    <t xml:space="preserve">Basic roles replaced with predefined or custom roles throughout</t>
  </si>
  <si>
    <t xml:space="preserve">V101</t>
  </si>
  <si>
    <t xml:space="preserve">5.4#4</t>
  </si>
  <si>
    <t xml:space="preserve">Privileged access held on dedicated admin identities, separate from daily-use accounts</t>
  </si>
  <si>
    <t xml:space="preserve">5.4#5</t>
  </si>
  <si>
    <t xml:space="preserve">Super admin accounts not used for routine work</t>
  </si>
  <si>
    <t xml:space="preserve">5.4#6</t>
  </si>
  <si>
    <t xml:space="preserve">Privileged Access Manager or IAM Conditions used for just-in-time elevation</t>
  </si>
  <si>
    <t xml:space="preserve">V102</t>
  </si>
  <si>
    <t xml:space="preserve">5.4#7</t>
  </si>
  <si>
    <t xml:space="preserve">IAM Recommender findings for over-granted roles reviewed and actioned</t>
  </si>
  <si>
    <t xml:space="preserve">V103</t>
  </si>
  <si>
    <t xml:space="preserve">5.4#8</t>
  </si>
  <si>
    <t xml:space="preserve">Alerting configured on org-level IAM policy changes</t>
  </si>
  <si>
    <t xml:space="preserve">V104</t>
  </si>
  <si>
    <t xml:space="preserve">Control 06 — Access Control Management</t>
  </si>
  <si>
    <t xml:space="preserve">6.1</t>
  </si>
  <si>
    <t xml:space="preserve">Establish an Access Granting Process</t>
  </si>
  <si>
    <t xml:space="preserve">6.1#1</t>
  </si>
  <si>
    <t xml:space="preserve">Documented process for granting access to GCP, with approval step recorded</t>
  </si>
  <si>
    <t xml:space="preserve">6.1#2</t>
  </si>
  <si>
    <t xml:space="preserve">Access granted through group membership rather than individual bindings</t>
  </si>
  <si>
    <t xml:space="preserve">V105</t>
  </si>
  <si>
    <t xml:space="preserve">6.1#3</t>
  </si>
  <si>
    <t xml:space="preserve">Role selection follows least privilege with a defined role catalogue</t>
  </si>
  <si>
    <t xml:space="preserve">6.1#4</t>
  </si>
  <si>
    <t xml:space="preserve">Requests and approvals retained as evidence</t>
  </si>
  <si>
    <t xml:space="preserve">6.1#5</t>
  </si>
  <si>
    <t xml:space="preserve">New starter provisioning integrated with the identity source</t>
  </si>
  <si>
    <t xml:space="preserve">6.2</t>
  </si>
  <si>
    <t xml:space="preserve">Establish an Access Revoking Process</t>
  </si>
  <si>
    <t xml:space="preserve">6.2#1</t>
  </si>
  <si>
    <t xml:space="preserve">Documented revocation procedure covering leavers and role changes</t>
  </si>
  <si>
    <t xml:space="preserve">6.2#2</t>
  </si>
  <si>
    <t xml:space="preserve">Procedure covers IAM bindings, group membership, service account keys, and OAuth grants</t>
  </si>
  <si>
    <t xml:space="preserve">6.2#3</t>
  </si>
  <si>
    <t xml:space="preserve">Session and token invalidation included, not just binding removal</t>
  </si>
  <si>
    <t xml:space="preserve">6.2#4</t>
  </si>
  <si>
    <t xml:space="preserve">Defined SLA from trigger event to completed revocation</t>
  </si>
  <si>
    <t xml:space="preserve">6.2#5</t>
  </si>
  <si>
    <t xml:space="preserve">Revocation completion verified and evidenced, not assumed</t>
  </si>
  <si>
    <t xml:space="preserve">6.2#6</t>
  </si>
  <si>
    <t xml:space="preserve">Periodic reconciliation between HR/IdP leavers and remaining GCP access</t>
  </si>
  <si>
    <t xml:space="preserve">6.3</t>
  </si>
  <si>
    <t xml:space="preserve">Require MFA for Externally-Exposed Applications</t>
  </si>
  <si>
    <t xml:space="preserve">6.3#1</t>
  </si>
  <si>
    <t xml:space="preserve">Externally exposed applications enumerated</t>
  </si>
  <si>
    <t xml:space="preserve">V106</t>
  </si>
  <si>
    <t xml:space="preserve">6.3#2</t>
  </si>
  <si>
    <t xml:space="preserve">Identity-Aware Proxy fronting internal applications reachable from the internet</t>
  </si>
  <si>
    <t xml:space="preserve">V107</t>
  </si>
  <si>
    <t xml:space="preserve">6.3#3</t>
  </si>
  <si>
    <t xml:space="preserve">MFA enforced at the identity provider for all IAP-protected access</t>
  </si>
  <si>
    <t xml:space="preserve">6.3#4</t>
  </si>
  <si>
    <t xml:space="preserve">No application relying on IP allowlisting alone as its access control</t>
  </si>
  <si>
    <t xml:space="preserve">6.3#5</t>
  </si>
  <si>
    <t xml:space="preserve">Access Context Manager levels applied where device or location assurance is required</t>
  </si>
  <si>
    <t xml:space="preserve">V108</t>
  </si>
  <si>
    <t xml:space="preserve">6.4</t>
  </si>
  <si>
    <t xml:space="preserve">Require MFA for Remote Network Access</t>
  </si>
  <si>
    <t xml:space="preserve">6.4#1</t>
  </si>
  <si>
    <t xml:space="preserve">SSH and RDP to VMs routed through IAP TCP forwarding</t>
  </si>
  <si>
    <t xml:space="preserve">V109</t>
  </si>
  <si>
    <t xml:space="preserve">6.4#2</t>
  </si>
  <si>
    <t xml:space="preserve">No VM instances reachable on port 22 or 3389 from 0.0.0.0/0</t>
  </si>
  <si>
    <t xml:space="preserve">V110</t>
  </si>
  <si>
    <t xml:space="preserve">6.4#3</t>
  </si>
  <si>
    <t xml:space="preserve">MFA enforced on the identity used for IAP access</t>
  </si>
  <si>
    <t xml:space="preserve">6.4#4</t>
  </si>
  <si>
    <t xml:space="preserve">Cloud VPN / Interconnect access paths documented and MFA-gated at the identity layer</t>
  </si>
  <si>
    <t xml:space="preserve">V111</t>
  </si>
  <si>
    <t xml:space="preserve">6.4#5</t>
  </si>
  <si>
    <t xml:space="preserve">Remaining bastion hosts removed or placed behind IAP</t>
  </si>
  <si>
    <t xml:space="preserve">V112</t>
  </si>
  <si>
    <t xml:space="preserve">6.5</t>
  </si>
  <si>
    <t xml:space="preserve">Require MFA for Administrative Access</t>
  </si>
  <si>
    <t xml:space="preserve">6.5#1</t>
  </si>
  <si>
    <t xml:space="preserve">2-Step Verification enforced (not merely available) for all Cloud Identity / Workspace users</t>
  </si>
  <si>
    <t xml:space="preserve">6.5#2</t>
  </si>
  <si>
    <t xml:space="preserve">Phishing-resistant methods (security keys or passkeys) required for super admins</t>
  </si>
  <si>
    <t xml:space="preserve">6.5#3</t>
  </si>
  <si>
    <t xml:space="preserve">Phishing-resistant methods required for any principal holding org or folder-level admin roles</t>
  </si>
  <si>
    <t xml:space="preserve">V113</t>
  </si>
  <si>
    <t xml:space="preserve">6.5#4</t>
  </si>
  <si>
    <t xml:space="preserve">MFA verified on the federated IdP path if SSO is in use</t>
  </si>
  <si>
    <t xml:space="preserve">6.5#5</t>
  </si>
  <si>
    <t xml:space="preserve">Enforcement confirmed by report, not by policy statement alone</t>
  </si>
  <si>
    <t xml:space="preserve">6.5#6</t>
  </si>
  <si>
    <t xml:space="preserve">Break-glass accounts covered by a documented MFA exception with compensating monitoring</t>
  </si>
  <si>
    <t xml:space="preserve">Control 07 — Continuous Vulnerability Management</t>
  </si>
  <si>
    <t xml:space="preserve">7.1</t>
  </si>
  <si>
    <t xml:space="preserve">Establish and Maintain a Vulnerability Management Process</t>
  </si>
  <si>
    <t xml:space="preserve">7.1#1</t>
  </si>
  <si>
    <t xml:space="preserve">Documented vulnerability management process covering the GCP estate</t>
  </si>
  <si>
    <t xml:space="preserve">7.1#2</t>
  </si>
  <si>
    <t xml:space="preserve">Security Command Center enabled at org scope with tier recorded</t>
  </si>
  <si>
    <t xml:space="preserve">V114</t>
  </si>
  <si>
    <t xml:space="preserve">7.1#3</t>
  </si>
  <si>
    <t xml:space="preserve">Vulnerability sources defined (SCC, Artifact Analysis, VM Manager, vendor advisories)</t>
  </si>
  <si>
    <t xml:space="preserve">7.1#4</t>
  </si>
  <si>
    <t xml:space="preserve">Roles and responsibilities named</t>
  </si>
  <si>
    <t xml:space="preserve">7.1#5</t>
  </si>
  <si>
    <t xml:space="preserve">Process reviewed annually</t>
  </si>
  <si>
    <t xml:space="preserve">7.2</t>
  </si>
  <si>
    <t xml:space="preserve">Establish and Maintain a Remediation Process</t>
  </si>
  <si>
    <t xml:space="preserve">7.2#1</t>
  </si>
  <si>
    <t xml:space="preserve">Remediation SLAs defined by severity</t>
  </si>
  <si>
    <t xml:space="preserve">7.2#2</t>
  </si>
  <si>
    <t xml:space="preserve">Findings routed to an owning team automatically, not surfaced only in a console</t>
  </si>
  <si>
    <t xml:space="preserve">V115</t>
  </si>
  <si>
    <t xml:space="preserve">7.2#3</t>
  </si>
  <si>
    <t xml:space="preserve">Risk acceptance process with expiry dates for exceptions</t>
  </si>
  <si>
    <t xml:space="preserve">7.2#4</t>
  </si>
  <si>
    <t xml:space="preserve">Findings tracked to closure with evidence</t>
  </si>
  <si>
    <t xml:space="preserve">7.2#5</t>
  </si>
  <si>
    <t xml:space="preserve">Monthly review of open findings against SLA</t>
  </si>
  <si>
    <t xml:space="preserve">7.3</t>
  </si>
  <si>
    <t xml:space="preserve">Perform Automated Operating System Patch Management</t>
  </si>
  <si>
    <t xml:space="preserve">7.3#1</t>
  </si>
  <si>
    <t xml:space="preserve">VM Manager patch deployments configured on a recurring schedule</t>
  </si>
  <si>
    <t xml:space="preserve">V116</t>
  </si>
  <si>
    <t xml:space="preserve">7.3#2</t>
  </si>
  <si>
    <t xml:space="preserve">OS Config agent present on all instances; coverage gaps identified and closed</t>
  </si>
  <si>
    <t xml:space="preserve">V117</t>
  </si>
  <si>
    <t xml:space="preserve">7.3#3</t>
  </si>
  <si>
    <t xml:space="preserve">Patch compliance reporting reviewed</t>
  </si>
  <si>
    <t xml:space="preserve">V118</t>
  </si>
  <si>
    <t xml:space="preserve">7.3#4</t>
  </si>
  <si>
    <t xml:space="preserve">Image rebake cadence defined so new instances launch pre-patched</t>
  </si>
  <si>
    <t xml:space="preserve">7.3#5</t>
  </si>
  <si>
    <t xml:space="preserve">Instance templates and MIGs updated to reference current images</t>
  </si>
  <si>
    <t xml:space="preserve">V119</t>
  </si>
  <si>
    <t xml:space="preserve">7.3#6</t>
  </si>
  <si>
    <t xml:space="preserve">GKE node auto-upgrade enabled on all node pools</t>
  </si>
  <si>
    <t xml:space="preserve">V120</t>
  </si>
  <si>
    <t xml:space="preserve">7.3#7</t>
  </si>
  <si>
    <t xml:space="preserve">Cloud SQL maintenance windows configured with automatic minor version updates</t>
  </si>
  <si>
    <t xml:space="preserve">V121</t>
  </si>
  <si>
    <t xml:space="preserve">7.4</t>
  </si>
  <si>
    <t xml:space="preserve">Perform Automated Application Patch Management</t>
  </si>
  <si>
    <t xml:space="preserve">7.4#1</t>
  </si>
  <si>
    <t xml:space="preserve">Artifact Analysis vulnerability scanning enabled on Artifact Registry</t>
  </si>
  <si>
    <t xml:space="preserve">V122</t>
  </si>
  <si>
    <t xml:space="preserve">7.4#2</t>
  </si>
  <si>
    <t xml:space="preserve">Container base image update process defined and automated</t>
  </si>
  <si>
    <t xml:space="preserve">7.4#3</t>
  </si>
  <si>
    <t xml:space="preserve">Application dependency scanning in the build pipeline</t>
  </si>
  <si>
    <t xml:space="preserve">7.4#4</t>
  </si>
  <si>
    <t xml:space="preserve">Cloud Functions and Cloud Run redeployed onto supported runtimes on a schedule</t>
  </si>
  <si>
    <t xml:space="preserve">V123</t>
  </si>
  <si>
    <t xml:space="preserve">7.4#5</t>
  </si>
  <si>
    <t xml:space="preserve">Web Security Scanner run against externally exposed applications</t>
  </si>
  <si>
    <t xml:space="preserve">V124</t>
  </si>
  <si>
    <t xml:space="preserve">7.4#6</t>
  </si>
  <si>
    <t xml:space="preserve">Rebuild-and-redeploy is the patching mechanism, not in-place modification of running workloads</t>
  </si>
  <si>
    <t xml:space="preserve">Control 08 — Audit Log Management</t>
  </si>
  <si>
    <t xml:space="preserve">8.1</t>
  </si>
  <si>
    <t xml:space="preserve">Establish and Maintain an Audit Log Management Process</t>
  </si>
  <si>
    <t xml:space="preserve">8.1#1</t>
  </si>
  <si>
    <t xml:space="preserve">Written audit log management process with stated retention periods per log type</t>
  </si>
  <si>
    <t xml:space="preserve">8.1#2</t>
  </si>
  <si>
    <t xml:space="preserve">Log sources in scope enumerated</t>
  </si>
  <si>
    <t xml:space="preserve">8.1#3</t>
  </si>
  <si>
    <t xml:space="preserve">Ownership of the logging pipeline assigned</t>
  </si>
  <si>
    <t xml:space="preserve">8.1#4</t>
  </si>
  <si>
    <t xml:space="preserve">Log exclusion filters documented and justified — no security-relevant events excluded for cost</t>
  </si>
  <si>
    <t xml:space="preserve">V125</t>
  </si>
  <si>
    <t xml:space="preserve">8.1#5</t>
  </si>
  <si>
    <t xml:space="preserve">8.2</t>
  </si>
  <si>
    <t xml:space="preserve">Collect Audit Logs</t>
  </si>
  <si>
    <t xml:space="preserve">8.2#1</t>
  </si>
  <si>
    <t xml:space="preserve">Admin Activity audit logs confirmed flowing for all projects</t>
  </si>
  <si>
    <t xml:space="preserve">V126</t>
  </si>
  <si>
    <t xml:space="preserve">8.2#2</t>
  </si>
  <si>
    <t xml:space="preserve">Data Access audit logs enabled (ADMIN_READ, DATA_READ, DATA_WRITE) — off by default</t>
  </si>
  <si>
    <t xml:space="preserve">V127</t>
  </si>
  <si>
    <t xml:space="preserve">8.2#3</t>
  </si>
  <si>
    <t xml:space="preserve">enabling starts the record now; pre-existing history is unrecoverable — note the gap start date as an audit finding</t>
  </si>
  <si>
    <t xml:space="preserve">V128</t>
  </si>
  <si>
    <t xml:space="preserve">8.2#4</t>
  </si>
  <si>
    <t xml:space="preserve">System Event and Policy Denied logs captured</t>
  </si>
  <si>
    <t xml:space="preserve">V129</t>
  </si>
  <si>
    <t xml:space="preserve">8.2#5</t>
  </si>
  <si>
    <t xml:space="preserve">Aggregated log sink configured at organization level with includeChildren = true</t>
  </si>
  <si>
    <t xml:space="preserve">V130</t>
  </si>
  <si>
    <t xml:space="preserve">8.2#6</t>
  </si>
  <si>
    <t xml:space="preserve">Sink service account permissions verified — confirm logs are arriving at the destination</t>
  </si>
  <si>
    <t xml:space="preserve">V131</t>
  </si>
  <si>
    <t xml:space="preserve">8.2#7</t>
  </si>
  <si>
    <t xml:space="preserve">VPC Flow Logs enabled on subnets carrying sensitive traffic</t>
  </si>
  <si>
    <t xml:space="preserve">V132</t>
  </si>
  <si>
    <t xml:space="preserve">8.2#8</t>
  </si>
  <si>
    <t xml:space="preserve">Cloud DNS logging, Cloud NAT logging, and firewall rules logging enabled</t>
  </si>
  <si>
    <t xml:space="preserve">V133</t>
  </si>
  <si>
    <t xml:space="preserve">8.2#9</t>
  </si>
  <si>
    <t xml:space="preserve">GKE audit logs and Cloud SQL logs captured</t>
  </si>
  <si>
    <t xml:space="preserve">V134</t>
  </si>
  <si>
    <t xml:space="preserve">8.2#10</t>
  </si>
  <si>
    <t xml:space="preserve">Load balancer and Cloud Armor request logging enabled</t>
  </si>
  <si>
    <t xml:space="preserve">V135</t>
  </si>
  <si>
    <t xml:space="preserve">8.2#11</t>
  </si>
  <si>
    <t xml:space="preserve">Alerting on org policy changes, IAM changes, service account key creation, custom role changes, and audit config changes</t>
  </si>
  <si>
    <t xml:space="preserve">V136</t>
  </si>
  <si>
    <t xml:space="preserve">8.3</t>
  </si>
  <si>
    <t xml:space="preserve">Ensure Adequate Audit Log Storage</t>
  </si>
  <si>
    <t xml:space="preserve">8.3#1</t>
  </si>
  <si>
    <t xml:space="preserve">Log bucket retention set explicitly to the defined period (not the 30-day _Default)</t>
  </si>
  <si>
    <t xml:space="preserve">V137</t>
  </si>
  <si>
    <t xml:space="preserve">8.3#2</t>
  </si>
  <si>
    <t xml:space="preserve">Sink destination sized and budgeted for the retention period</t>
  </si>
  <si>
    <t xml:space="preserve">8.3#3</t>
  </si>
  <si>
    <t xml:space="preserve">Logs stored in a dedicated logging project with IAM separated from workload projects</t>
  </si>
  <si>
    <t xml:space="preserve">V138</t>
  </si>
  <si>
    <t xml:space="preserve">8.3#4</t>
  </si>
  <si>
    <t xml:space="preserve">Bucket Lock retention policy applied to the log destination for tamper resistance</t>
  </si>
  <si>
    <t xml:space="preserve">V139</t>
  </si>
  <si>
    <t xml:space="preserve">8.3#5</t>
  </si>
  <si>
    <t xml:space="preserve">No workload-project principals hold delete permission on log storage</t>
  </si>
  <si>
    <t xml:space="preserve">V140</t>
  </si>
  <si>
    <t xml:space="preserve">8.3#6</t>
  </si>
  <si>
    <t xml:space="preserve">Storage capacity and cost monitored with alerting before ingestion is throttled or dropped</t>
  </si>
  <si>
    <t xml:space="preserve">V141</t>
  </si>
  <si>
    <t xml:space="preserve">Control 09 — Email and Web Browser Protections</t>
  </si>
  <si>
    <t xml:space="preserve">9.2</t>
  </si>
  <si>
    <t xml:space="preserve">Use DNS Filtering Services</t>
  </si>
  <si>
    <t xml:space="preserve">9.2#1</t>
  </si>
  <si>
    <t xml:space="preserve">Cloud DNS response policies applied to VPC networks to block known-malicious domains</t>
  </si>
  <si>
    <t xml:space="preserve">V142</t>
  </si>
  <si>
    <t xml:space="preserve">9.2#2</t>
  </si>
  <si>
    <t xml:space="preserve">Workload egress routed through Cloud NAT or Secure Web Proxy rather than per-instance external IPs</t>
  </si>
  <si>
    <t xml:space="preserve">V143</t>
  </si>
  <si>
    <t xml:space="preserve">9.2#3</t>
  </si>
  <si>
    <t xml:space="preserve">Egress firewall rules constrain outbound destinations</t>
  </si>
  <si>
    <t xml:space="preserve">V144</t>
  </si>
  <si>
    <t xml:space="preserve">9.2#4</t>
  </si>
  <si>
    <t xml:space="preserve">Cloud DNS logging enabled for visibility into resolution behaviour</t>
  </si>
  <si>
    <t xml:space="preserve">V145</t>
  </si>
  <si>
    <t xml:space="preserve">9.2#5</t>
  </si>
  <si>
    <t xml:space="preserve">Blocked-resolution events surfaced to a monitored destination</t>
  </si>
  <si>
    <t xml:space="preserve">V146</t>
  </si>
  <si>
    <t xml:space="preserve">Control 10 — Malware Defenses</t>
  </si>
  <si>
    <t xml:space="preserve">10.1</t>
  </si>
  <si>
    <t xml:space="preserve">Deploy and Maintain Anti-Malware Software</t>
  </si>
  <si>
    <t xml:space="preserve">10.1#1</t>
  </si>
  <si>
    <t xml:space="preserve">Anti-malware agent decision documented per workload class, with rationale where not deployed</t>
  </si>
  <si>
    <t xml:space="preserve">10.1#2</t>
  </si>
  <si>
    <t xml:space="preserve">Agent baked into the golden image rather than installed post-boot</t>
  </si>
  <si>
    <t xml:space="preserve">10.1#3</t>
  </si>
  <si>
    <t xml:space="preserve">Agent presence verifiable through OS inventory so coverage gaps are detectable</t>
  </si>
  <si>
    <t xml:space="preserve">V147</t>
  </si>
  <si>
    <t xml:space="preserve">10.1#4</t>
  </si>
  <si>
    <t xml:space="preserve">Container image malware scanning in place for containerised workloads</t>
  </si>
  <si>
    <t xml:space="preserve">V148</t>
  </si>
  <si>
    <t xml:space="preserve">10.1#5</t>
  </si>
  <si>
    <t xml:space="preserve">Binary Authorization preventing unattested images reaching GKE / Cloud Run</t>
  </si>
  <si>
    <t xml:space="preserve">V149</t>
  </si>
  <si>
    <t xml:space="preserve">10.1#6</t>
  </si>
  <si>
    <t xml:space="preserve">Shielded VM secure boot and integrity monitoring enabled</t>
  </si>
  <si>
    <t xml:space="preserve">V150</t>
  </si>
  <si>
    <t xml:space="preserve">10.1#7</t>
  </si>
  <si>
    <t xml:space="preserve">Malware scanning on Cloud Storage buckets accepting untrusted uploads</t>
  </si>
  <si>
    <t xml:space="preserve">10.2</t>
  </si>
  <si>
    <t xml:space="preserve">Configure Automatic Anti-Malware Signature Updates</t>
  </si>
  <si>
    <t xml:space="preserve">10.2#1</t>
  </si>
  <si>
    <t xml:space="preserve">Automatic signature updates enabled on deployed agents</t>
  </si>
  <si>
    <t xml:space="preserve">10.2#2</t>
  </si>
  <si>
    <t xml:space="preserve">Update path reachable from instances with restricted egress — verified, not assumed</t>
  </si>
  <si>
    <t xml:space="preserve">V151</t>
  </si>
  <si>
    <t xml:space="preserve">10.2#3</t>
  </si>
  <si>
    <t xml:space="preserve">Signature currency monitored, with alerting on stale definitions</t>
  </si>
  <si>
    <t xml:space="preserve">10.2#4</t>
  </si>
  <si>
    <t xml:space="preserve">Container and registry scanning definitions maintained by the platform provider or updated on schedule</t>
  </si>
  <si>
    <t xml:space="preserve">Control 11 — Data Recovery</t>
  </si>
  <si>
    <t xml:space="preserve">11.1</t>
  </si>
  <si>
    <t xml:space="preserve">Establish and Maintain a Data Recovery Process</t>
  </si>
  <si>
    <t xml:space="preserve">11.1#1</t>
  </si>
  <si>
    <t xml:space="preserve">Written recovery process covering each data-bearing service in use</t>
  </si>
  <si>
    <t xml:space="preserve">11.1#2</t>
  </si>
  <si>
    <t xml:space="preserve">RPO and RTO defined per workload tier</t>
  </si>
  <si>
    <t xml:space="preserve">11.1#3</t>
  </si>
  <si>
    <t xml:space="preserve">Recovery roles and escalation path named</t>
  </si>
  <si>
    <t xml:space="preserve">11.1#4</t>
  </si>
  <si>
    <t xml:space="preserve">Terraform state backend versioning and recovery included in scope</t>
  </si>
  <si>
    <t xml:space="preserve">V152</t>
  </si>
  <si>
    <t xml:space="preserve">11.1#5</t>
  </si>
  <si>
    <t xml:space="preserve">Process reviewed annually and after any recovery event</t>
  </si>
  <si>
    <t xml:space="preserve">11.2</t>
  </si>
  <si>
    <t xml:space="preserve">Perform Automated Backups</t>
  </si>
  <si>
    <t xml:space="preserve">11.2#1</t>
  </si>
  <si>
    <t xml:space="preserve">Cloud SQL automated backups enabled with point-in-time recovery</t>
  </si>
  <si>
    <t xml:space="preserve">V153</t>
  </si>
  <si>
    <t xml:space="preserve">11.2#2</t>
  </si>
  <si>
    <t xml:space="preserve">Persistent disk snapshot schedules attached to all data-bearing disks</t>
  </si>
  <si>
    <t xml:space="preserve">V154</t>
  </si>
  <si>
    <t xml:space="preserve">11.2#3</t>
  </si>
  <si>
    <t xml:space="preserve">Cloud Storage versioning and soft delete enabled on data-bearing buckets</t>
  </si>
  <si>
    <t xml:space="preserve">V155</t>
  </si>
  <si>
    <t xml:space="preserve">11.2#4</t>
  </si>
  <si>
    <t xml:space="preserve">Backup for GKE configured where GKE holds persistent state</t>
  </si>
  <si>
    <t xml:space="preserve">V156</t>
  </si>
  <si>
    <t xml:space="preserve">11.2#5</t>
  </si>
  <si>
    <t xml:space="preserve">Firestore, Bigtable, Spanner, Filestore backups configured where in use</t>
  </si>
  <si>
    <t xml:space="preserve">V157</t>
  </si>
  <si>
    <t xml:space="preserve">11.2#6</t>
  </si>
  <si>
    <t xml:space="preserve">Backup success and failure monitored with alerting — silent failure detected</t>
  </si>
  <si>
    <t xml:space="preserve">V158</t>
  </si>
  <si>
    <t xml:space="preserve">11.2#7</t>
  </si>
  <si>
    <t xml:space="preserve">Backup frequency meets the defined RPO</t>
  </si>
  <si>
    <t xml:space="preserve">11.3</t>
  </si>
  <si>
    <t xml:space="preserve">Protect Recovery Data</t>
  </si>
  <si>
    <t xml:space="preserve">11.3#1</t>
  </si>
  <si>
    <t xml:space="preserve">Backup data encrypted, with CMEK where key control is required</t>
  </si>
  <si>
    <t xml:space="preserve">V159</t>
  </si>
  <si>
    <t xml:space="preserve">11.3#2</t>
  </si>
  <si>
    <t xml:space="preserve">KMS key access separated from production workload identities</t>
  </si>
  <si>
    <t xml:space="preserve">V160</t>
  </si>
  <si>
    <t xml:space="preserve">11.3#3</t>
  </si>
  <si>
    <t xml:space="preserve">IAM on backup storage restricted to a dedicated backup role</t>
  </si>
  <si>
    <t xml:space="preserve">V161</t>
  </si>
  <si>
    <t xml:space="preserve">11.3#4</t>
  </si>
  <si>
    <t xml:space="preserve">No production workload service account holds delete permission on backups</t>
  </si>
  <si>
    <t xml:space="preserve">V162</t>
  </si>
  <si>
    <t xml:space="preserve">11.3#5</t>
  </si>
  <si>
    <t xml:space="preserve">Bucket Lock retention policy applied to backup buckets (WORM)</t>
  </si>
  <si>
    <t xml:space="preserve">V163</t>
  </si>
  <si>
    <t xml:space="preserve">11.3#6</t>
  </si>
  <si>
    <t xml:space="preserve">Backup deletion events logged and alerted on</t>
  </si>
  <si>
    <t xml:space="preserve">V164</t>
  </si>
  <si>
    <t xml:space="preserve">11.4</t>
  </si>
  <si>
    <t xml:space="preserve">Establish and Maintain an Isolated Instance of Recovery Data</t>
  </si>
  <si>
    <t xml:space="preserve">11.4#1</t>
  </si>
  <si>
    <t xml:space="preserve">At least one backup copy held in a separate project from the production workload</t>
  </si>
  <si>
    <t xml:space="preserve">V165</t>
  </si>
  <si>
    <t xml:space="preserve">11.4#2</t>
  </si>
  <si>
    <t xml:space="preserve">Backup project sits under a separate folder with distinct IAM inheritance</t>
  </si>
  <si>
    <t xml:space="preserve">V166</t>
  </si>
  <si>
    <t xml:space="preserve">11.4#3</t>
  </si>
  <si>
    <t xml:space="preserve">No shared credential can both access production and delete the isolated copy</t>
  </si>
  <si>
    <t xml:space="preserve">V167</t>
  </si>
  <si>
    <t xml:space="preserve">11.4#4</t>
  </si>
  <si>
    <t xml:space="preserve">Copy held in a different region, or in multi-region storage</t>
  </si>
  <si>
    <t xml:space="preserve">V168</t>
  </si>
  <si>
    <t xml:space="preserve">11.4#5</t>
  </si>
  <si>
    <t xml:space="preserve">Isolation verified by test — attempt access with a production identity and confirm denial</t>
  </si>
  <si>
    <t xml:space="preserve">11.4#6</t>
  </si>
  <si>
    <t xml:space="preserve">Restore from the isolated copy tested and dated</t>
  </si>
  <si>
    <t xml:space="preserve">Control 12 — Network Infrastructure Management</t>
  </si>
  <si>
    <t xml:space="preserve">12.1</t>
  </si>
  <si>
    <t xml:space="preserve">Ensure Network Infrastructure is Up-to-Date</t>
  </si>
  <si>
    <t xml:space="preserve">12.1#1</t>
  </si>
  <si>
    <t xml:space="preserve">GKE control plane and node versions within the supported window</t>
  </si>
  <si>
    <t xml:space="preserve">V169</t>
  </si>
  <si>
    <t xml:space="preserve">12.1#2</t>
  </si>
  <si>
    <t xml:space="preserve">Classic VPN migrated to HA VPN; tunnels using current IKE version and ciphers</t>
  </si>
  <si>
    <t xml:space="preserve">V170</t>
  </si>
  <si>
    <t xml:space="preserve">12.1#3</t>
  </si>
  <si>
    <t xml:space="preserve">Load balancer SSL policies set to a modern TLS minimum; TLS 1.0/1.1 and weak ciphers disabled</t>
  </si>
  <si>
    <t xml:space="preserve">V171</t>
  </si>
  <si>
    <t xml:space="preserve">12.1#4</t>
  </si>
  <si>
    <t xml:space="preserve">Legacy (non-Application) load balancers migrated</t>
  </si>
  <si>
    <t xml:space="preserve">V172</t>
  </si>
  <si>
    <t xml:space="preserve">12.1#5</t>
  </si>
  <si>
    <t xml:space="preserve">Legacy networks eliminated; auto-mode VPCs converted to custom-mode</t>
  </si>
  <si>
    <t xml:space="preserve">V173</t>
  </si>
  <si>
    <t xml:space="preserve">12.1#6</t>
  </si>
  <si>
    <t xml:space="preserve">Cloud Armor rule sets current</t>
  </si>
  <si>
    <t xml:space="preserve">V174</t>
  </si>
  <si>
    <t xml:space="preserve">12.1#7</t>
  </si>
  <si>
    <t xml:space="preserve">Deprecated Compute Engine API versions removed from tooling and IaC</t>
  </si>
  <si>
    <t xml:space="preserve">12.1#8</t>
  </si>
  <si>
    <t xml:space="preserve">Network topology diagram current, including Shared VPC and peering relationships</t>
  </si>
  <si>
    <t xml:space="preserve">Control 15 — Service Provider Management</t>
  </si>
  <si>
    <t xml:space="preserve">15.1</t>
  </si>
  <si>
    <t xml:space="preserve">Establish and Maintain an Inventory of Service Providers</t>
  </si>
  <si>
    <t xml:space="preserve">15.1#1</t>
  </si>
  <si>
    <t xml:space="preserve">Google Cloud recorded as a service provider with the shared responsibility boundary documented</t>
  </si>
  <si>
    <t xml:space="preserve">15.1#2</t>
  </si>
  <si>
    <t xml:space="preserve">Marketplace-deployed solutions and their vendors enumerated</t>
  </si>
  <si>
    <t xml:space="preserve">15.1#3</t>
  </si>
  <si>
    <t xml:space="preserve">Third-party service accounts with access into the Organization inventoried</t>
  </si>
  <si>
    <t xml:space="preserve">V175</t>
  </si>
  <si>
    <t xml:space="preserve">15.1#4</t>
  </si>
  <si>
    <t xml:space="preserve">Workload Identity Federation trust relationships to external IdPs documented</t>
  </si>
  <si>
    <t xml:space="preserve">V176</t>
  </si>
  <si>
    <t xml:space="preserve">15.1#5</t>
  </si>
  <si>
    <t xml:space="preserve">OAuth applications authorised against the Cloud Identity / Workspace tenant reviewed</t>
  </si>
  <si>
    <t xml:space="preserve">15.1#6</t>
  </si>
  <si>
    <t xml:space="preserve">Cross-project and cross-organization IAM grants identified</t>
  </si>
  <si>
    <t xml:space="preserve">V177</t>
  </si>
  <si>
    <t xml:space="preserve">15.1#7</t>
  </si>
  <si>
    <t xml:space="preserve">constraints/iam.allowedPolicyMemberDomains enforced to prevent undocumented external grants</t>
  </si>
  <si>
    <t xml:space="preserve">V178</t>
  </si>
  <si>
    <t xml:space="preserve">15.1#8</t>
  </si>
  <si>
    <t xml:space="preserve">external grants predating the constraint enumerated and documented or removed</t>
  </si>
  <si>
    <t xml:space="preserve">V179</t>
  </si>
  <si>
    <t xml:space="preserve">15.1#9</t>
  </si>
  <si>
    <t xml:space="preserve">Inventory reviewed at least annually</t>
  </si>
  <si>
    <t xml:space="preserve">Control 17 — Incident Response Management</t>
  </si>
  <si>
    <t xml:space="preserve">17.1</t>
  </si>
  <si>
    <t xml:space="preserve">Designate Personnel to Manage Incident Handling</t>
  </si>
  <si>
    <t xml:space="preserve">17.1#1</t>
  </si>
  <si>
    <t xml:space="preserve">Named individual accountable for incident handling covering the GCP Organization</t>
  </si>
  <si>
    <t xml:space="preserve">17.1#2</t>
  </si>
  <si>
    <t xml:space="preserve">Deputy or escalation path named for coverage</t>
  </si>
  <si>
    <t xml:space="preserve">17.1#3</t>
  </si>
  <si>
    <t xml:space="preserve">Break-glass access procedure documented, tested, and alerted on</t>
  </si>
  <si>
    <t xml:space="preserve">V180</t>
  </si>
  <si>
    <t xml:space="preserve">17.1#4</t>
  </si>
  <si>
    <t xml:space="preserve">Google Cloud support plan level recorded and adequate for incident escalation</t>
  </si>
  <si>
    <t xml:space="preserve">17.1#5</t>
  </si>
  <si>
    <t xml:space="preserve">Designation reviewed annually</t>
  </si>
  <si>
    <t xml:space="preserve">17.2</t>
  </si>
  <si>
    <t xml:space="preserve">Establish and Maintain Contact Information for Reporting Security Incidents</t>
  </si>
  <si>
    <t xml:space="preserve">17.2#1</t>
  </si>
  <si>
    <t xml:space="preserve">Essential Contacts configured at organization level for the Security category</t>
  </si>
  <si>
    <t xml:space="preserve">V181</t>
  </si>
  <si>
    <t xml:space="preserve">17.2#2</t>
  </si>
  <si>
    <t xml:space="preserve">Essential Contacts configured for Legal, Suspension, and Technical categories</t>
  </si>
  <si>
    <t xml:space="preserve">V182</t>
  </si>
  <si>
    <t xml:space="preserve">17.2#3</t>
  </si>
  <si>
    <t xml:space="preserve">Contacts point to monitored group addresses, not individuals</t>
  </si>
  <si>
    <t xml:space="preserve">V183</t>
  </si>
  <si>
    <t xml:space="preserve">17.2#4</t>
  </si>
  <si>
    <t xml:space="preserve">pre-existing contacts (personal addresses, departed employees) reviewed and replaced</t>
  </si>
  <si>
    <t xml:space="preserve">V184</t>
  </si>
  <si>
    <t xml:space="preserve">17.2#5</t>
  </si>
  <si>
    <t xml:space="preserve">Cloud Billing account contacts current</t>
  </si>
  <si>
    <t xml:space="preserve">17.2#6</t>
  </si>
  <si>
    <t xml:space="preserve">Cloud Monitoring notification channels verified — no departed-employee addresses</t>
  </si>
  <si>
    <t xml:space="preserve">V185</t>
  </si>
  <si>
    <t xml:space="preserve">17.2#7</t>
  </si>
  <si>
    <t xml:space="preserve">Contacts verified by test message on a defined cadence</t>
  </si>
  <si>
    <t xml:space="preserve">17.3</t>
  </si>
  <si>
    <t xml:space="preserve">Establish and Maintain an Enterprise Process for Reporting Incidents</t>
  </si>
  <si>
    <t xml:space="preserve">17.3#1</t>
  </si>
  <si>
    <t xml:space="preserve">Security Command Center findings routed to a monitored destination via Pub/Sub</t>
  </si>
  <si>
    <t xml:space="preserve">V186</t>
  </si>
  <si>
    <t xml:space="preserve">17.3#2</t>
  </si>
  <si>
    <t xml:space="preserve">Log-based alerts route to an on-call rotation, not an unmonitored mailbox</t>
  </si>
  <si>
    <t xml:space="preserve">V187</t>
  </si>
  <si>
    <t xml:space="preserve">17.3#3</t>
  </si>
  <si>
    <t xml:space="preserve">Documented path for a platform engineer to raise a suspected incident</t>
  </si>
  <si>
    <t xml:space="preserve">17.3#4</t>
  </si>
  <si>
    <t xml:space="preserve">Handoff defined between the GCP platform team and the enterprise incident function</t>
  </si>
  <si>
    <t xml:space="preserve">17.3#5</t>
  </si>
  <si>
    <t xml:space="preserve">Log retention sufficient to support investigation (dependency on 8.3)</t>
  </si>
  <si>
    <t xml:space="preserve">V188</t>
  </si>
  <si>
    <t xml:space="preserve">17.3#6</t>
  </si>
  <si>
    <t xml:space="preserve">Reporting path tested and dated</t>
  </si>
  <si>
    <t xml:space="preserve">How to use this tracker</t>
  </si>
  <si>
    <t xml:space="preserve">Every figure below is a formula over the Tracker tab. Update Status there; this recalculates.</t>
  </si>
  <si>
    <t xml:space="preserve">Overall</t>
  </si>
  <si>
    <t xml:space="preserve">Total requirements</t>
  </si>
  <si>
    <t xml:space="preserve">In progress</t>
  </si>
  <si>
    <t xml:space="preserve">PR submitted</t>
  </si>
  <si>
    <t xml:space="preserve">Compliant</t>
  </si>
  <si>
    <t xml:space="preserve">N/A</t>
  </si>
  <si>
    <t xml:space="preserve">Compliant %</t>
  </si>
  <si>
    <t xml:space="preserve">By verification group</t>
  </si>
  <si>
    <t xml:space="preserve">Total</t>
  </si>
  <si>
    <t xml:space="preserve">% done</t>
  </si>
  <si>
    <t xml:space="preserve">By scope</t>
  </si>
  <si>
    <t xml:space="preserve">Where the work is sitting</t>
  </si>
  <si>
    <t xml:space="preserve">Outstanding with engineering</t>
  </si>
  <si>
    <t xml:space="preserve">Awaiting management approval</t>
  </si>
  <si>
    <t xml:space="preserve">Done</t>
  </si>
  <si>
    <t xml:space="preserve">Not applicable</t>
  </si>
  <si>
    <t xml:space="preserve">A PR sitting unapproved is a management decision, not an engineering backlog item.</t>
  </si>
  <si>
    <t xml:space="preserve">By safeguard</t>
  </si>
  <si>
    <t xml:space="preserve">Requirements</t>
  </si>
  <si>
    <t xml:space="preserve">Safeguard met?</t>
  </si>
  <si>
    <t xml:space="preserve">Safeguards met</t>
  </si>
  <si>
    <t xml:space="preserve">A safeguard is met only when every one of its requirements is Compliant. No partial credit.</t>
  </si>
  <si>
    <t xml:space="preserve">Where to type</t>
  </si>
  <si>
    <t xml:space="preserve">Only the shaded columns on the Tracker tab: Status, Owner, PR / Ticket, Raised, Verified, Notes. Everything to their left is generated from the repository and will be overwritten if the tracker is regenerated.</t>
  </si>
  <si>
    <t xml:space="preserve">Status values</t>
  </si>
  <si>
    <t xml:space="preserve">Not started · In progress · PR submitted · Compliant · N/A</t>
  </si>
  <si>
    <t xml:space="preserve">Means verified in the live estate. Not 'merged', not 'applied' — verified. A merged PR nobody confirmed is still 'PR submitted'.</t>
  </si>
  <si>
    <t xml:space="preserve">The fix is written and raised. The item is now waiting on management approval, not on engineering. Put the PR number in the PR / Ticket column and the date in Raised.</t>
  </si>
  <si>
    <t xml:space="preserve">The product or service does not exist in this organization. Use sparingly — 'we never built a log bucket' is a failure, not an N/A.</t>
  </si>
  <si>
    <t xml:space="preserve">How the requirement gets checked:</t>
  </si>
  <si>
    <t xml:space="preserve">  Automated</t>
  </si>
  <si>
    <t xml:space="preserve">audit-run.go runs it and scores pass/fail. 41 requirements.</t>
  </si>
  <si>
    <t xml:space="preserve">  CLI + human review</t>
  </si>
  <si>
    <t xml:space="preserve">audit-run.go runs it and saves the output; a person judges the result. 147 requirements.</t>
  </si>
  <si>
    <t xml:space="preserve">  GCP manual</t>
  </si>
  <si>
    <t xml:space="preserve">A GCP task with no CLI — Admin Console, image build, or a test to perform. 30 requirements.</t>
  </si>
  <si>
    <t xml:space="preserve">  Process &amp; people</t>
  </si>
  <si>
    <t xml:space="preserve">Answered by a conversation and a document, not a command. 72 requirements.</t>
  </si>
  <si>
    <t xml:space="preserve">org = checked once for the whole organization. project = checked once per project.</t>
  </si>
  <si>
    <t xml:space="preserve">The V-number in docs/cis-ig1-cli-validation.md holding the command and its pass criteria.</t>
  </si>
  <si>
    <t xml:space="preserve">Yes means this is the clean-up half of an org policy fix. Applying the constraint does not remediate what already exists — both halves are needed.</t>
  </si>
  <si>
    <t xml:space="preserve">Scope boundary</t>
  </si>
  <si>
    <t xml:space="preserve">These 290 requirements are the GCP-actionable half of IG1. Twelve IG1 safeguards — security awareness training, end-user devices, removable media — have no GCP surface, are not in this sheet, and are owned elsewhere. 100% here is not 100% IG1.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</si>
</sst>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10"/>
    <col collapsed="false" customWidth="true" hidden="false" outlineLevel="0" max="5" min="5" style="0" width="78"/>
    <col collapsed="false" customWidth="true" hidden="false" outlineLevel="0" max="6" min="6" style="0" width="20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9" min="9" style="0" width="15"/>
    <col collapsed="false" customWidth="true" hidden="false" outlineLevel="0" max="11" min="10" style="0" width="16"/>
    <col collapsed="false" customWidth="true" hidden="false" outlineLevel="0" max="12" min="12" style="0" width="14"/>
    <col collapsed="false" customWidth="true" hidden="false" outlineLevel="0" max="14" min="13" style="0" width="12"/>
    <col collapsed="false" customWidth="true" hidden="false" outlineLevel="0" max="15" min="15" style="0" width="4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27.75" hidden="false" customHeight="true" outlineLevel="0" collapsed="false">
      <c r="A2" s="2" t="s">
        <v>15</v>
      </c>
      <c r="B2" s="3" t="s">
        <v>16</v>
      </c>
      <c r="C2" s="2" t="s">
        <v>17</v>
      </c>
      <c r="D2" s="3" t="s">
        <v>18</v>
      </c>
      <c r="E2" s="2" t="s">
        <v>19</v>
      </c>
      <c r="F2" s="3" t="s">
        <v>20</v>
      </c>
      <c r="G2" s="3" t="s">
        <v>21</v>
      </c>
      <c r="H2" s="3" t="s">
        <v>22</v>
      </c>
      <c r="I2" s="3"/>
      <c r="J2" s="4" t="s">
        <v>23</v>
      </c>
      <c r="K2" s="4"/>
      <c r="L2" s="4"/>
      <c r="M2" s="4"/>
      <c r="N2" s="4"/>
      <c r="O2" s="5"/>
    </row>
    <row r="3" customFormat="false" ht="27.75" hidden="false" customHeight="true" outlineLevel="0" collapsed="false">
      <c r="A3" s="2" t="s">
        <v>15</v>
      </c>
      <c r="B3" s="3" t="s">
        <v>16</v>
      </c>
      <c r="C3" s="2" t="s">
        <v>17</v>
      </c>
      <c r="D3" s="3" t="s">
        <v>24</v>
      </c>
      <c r="E3" s="2" t="s">
        <v>25</v>
      </c>
      <c r="F3" s="3" t="s">
        <v>20</v>
      </c>
      <c r="G3" s="3" t="s">
        <v>21</v>
      </c>
      <c r="H3" s="3" t="s">
        <v>26</v>
      </c>
      <c r="I3" s="3"/>
      <c r="J3" s="4" t="s">
        <v>23</v>
      </c>
      <c r="K3" s="4"/>
      <c r="L3" s="4"/>
      <c r="M3" s="4"/>
      <c r="N3" s="4"/>
      <c r="O3" s="5"/>
    </row>
    <row r="4" customFormat="false" ht="27.75" hidden="false" customHeight="true" outlineLevel="0" collapsed="false">
      <c r="A4" s="2" t="s">
        <v>15</v>
      </c>
      <c r="B4" s="3" t="s">
        <v>16</v>
      </c>
      <c r="C4" s="2" t="s">
        <v>17</v>
      </c>
      <c r="D4" s="3" t="s">
        <v>27</v>
      </c>
      <c r="E4" s="2" t="s">
        <v>28</v>
      </c>
      <c r="F4" s="3" t="s">
        <v>20</v>
      </c>
      <c r="G4" s="3" t="s">
        <v>21</v>
      </c>
      <c r="H4" s="3" t="s">
        <v>29</v>
      </c>
      <c r="I4" s="3"/>
      <c r="J4" s="4" t="s">
        <v>23</v>
      </c>
      <c r="K4" s="4"/>
      <c r="L4" s="4"/>
      <c r="M4" s="4"/>
      <c r="N4" s="4"/>
      <c r="O4" s="5"/>
    </row>
    <row r="5" customFormat="false" ht="27.75" hidden="false" customHeight="true" outlineLevel="0" collapsed="false">
      <c r="A5" s="2" t="s">
        <v>15</v>
      </c>
      <c r="B5" s="3" t="s">
        <v>16</v>
      </c>
      <c r="C5" s="2" t="s">
        <v>17</v>
      </c>
      <c r="D5" s="3" t="s">
        <v>30</v>
      </c>
      <c r="E5" s="2" t="s">
        <v>31</v>
      </c>
      <c r="F5" s="3" t="s">
        <v>20</v>
      </c>
      <c r="G5" s="3" t="s">
        <v>21</v>
      </c>
      <c r="H5" s="3" t="s">
        <v>32</v>
      </c>
      <c r="I5" s="3"/>
      <c r="J5" s="4" t="s">
        <v>23</v>
      </c>
      <c r="K5" s="4"/>
      <c r="L5" s="4"/>
      <c r="M5" s="4"/>
      <c r="N5" s="4"/>
      <c r="O5" s="5"/>
    </row>
    <row r="6" customFormat="false" ht="27.75" hidden="false" customHeight="true" outlineLevel="0" collapsed="false">
      <c r="A6" s="2" t="s">
        <v>15</v>
      </c>
      <c r="B6" s="3" t="s">
        <v>16</v>
      </c>
      <c r="C6" s="2" t="s">
        <v>17</v>
      </c>
      <c r="D6" s="3" t="s">
        <v>33</v>
      </c>
      <c r="E6" s="2" t="s">
        <v>34</v>
      </c>
      <c r="F6" s="3" t="s">
        <v>35</v>
      </c>
      <c r="G6" s="3" t="s">
        <v>21</v>
      </c>
      <c r="H6" s="3" t="s">
        <v>36</v>
      </c>
      <c r="I6" s="3"/>
      <c r="J6" s="4" t="s">
        <v>23</v>
      </c>
      <c r="K6" s="4"/>
      <c r="L6" s="4"/>
      <c r="M6" s="4"/>
      <c r="N6" s="4"/>
      <c r="O6" s="5"/>
    </row>
    <row r="7" customFormat="false" ht="27.75" hidden="false" customHeight="true" outlineLevel="0" collapsed="false">
      <c r="A7" s="2" t="s">
        <v>15</v>
      </c>
      <c r="B7" s="3" t="s">
        <v>16</v>
      </c>
      <c r="C7" s="2" t="s">
        <v>17</v>
      </c>
      <c r="D7" s="3" t="s">
        <v>37</v>
      </c>
      <c r="E7" s="2" t="s">
        <v>38</v>
      </c>
      <c r="F7" s="3" t="s">
        <v>20</v>
      </c>
      <c r="G7" s="3" t="s">
        <v>39</v>
      </c>
      <c r="H7" s="3" t="s">
        <v>40</v>
      </c>
      <c r="I7" s="3"/>
      <c r="J7" s="4" t="s">
        <v>23</v>
      </c>
      <c r="K7" s="4"/>
      <c r="L7" s="4"/>
      <c r="M7" s="4"/>
      <c r="N7" s="4"/>
      <c r="O7" s="5"/>
    </row>
    <row r="8" customFormat="false" ht="27.75" hidden="false" customHeight="true" outlineLevel="0" collapsed="false">
      <c r="A8" s="2" t="s">
        <v>15</v>
      </c>
      <c r="B8" s="3" t="s">
        <v>16</v>
      </c>
      <c r="C8" s="2" t="s">
        <v>17</v>
      </c>
      <c r="D8" s="3" t="s">
        <v>41</v>
      </c>
      <c r="E8" s="2" t="s">
        <v>42</v>
      </c>
      <c r="F8" s="3" t="s">
        <v>43</v>
      </c>
      <c r="G8" s="3"/>
      <c r="H8" s="3"/>
      <c r="I8" s="3"/>
      <c r="J8" s="4" t="s">
        <v>23</v>
      </c>
      <c r="K8" s="4"/>
      <c r="L8" s="4"/>
      <c r="M8" s="4"/>
      <c r="N8" s="4"/>
      <c r="O8" s="5"/>
    </row>
    <row r="9" customFormat="false" ht="27.75" hidden="false" customHeight="true" outlineLevel="0" collapsed="false">
      <c r="A9" s="2" t="s">
        <v>15</v>
      </c>
      <c r="B9" s="3" t="s">
        <v>44</v>
      </c>
      <c r="C9" s="2" t="s">
        <v>45</v>
      </c>
      <c r="D9" s="3" t="s">
        <v>46</v>
      </c>
      <c r="E9" s="2" t="s">
        <v>47</v>
      </c>
      <c r="F9" s="3" t="s">
        <v>43</v>
      </c>
      <c r="G9" s="3"/>
      <c r="H9" s="3"/>
      <c r="I9" s="3"/>
      <c r="J9" s="4" t="s">
        <v>23</v>
      </c>
      <c r="K9" s="4"/>
      <c r="L9" s="4"/>
      <c r="M9" s="4"/>
      <c r="N9" s="4"/>
      <c r="O9" s="5"/>
    </row>
    <row r="10" customFormat="false" ht="27.75" hidden="false" customHeight="true" outlineLevel="0" collapsed="false">
      <c r="A10" s="2" t="s">
        <v>15</v>
      </c>
      <c r="B10" s="3" t="s">
        <v>44</v>
      </c>
      <c r="C10" s="2" t="s">
        <v>45</v>
      </c>
      <c r="D10" s="3" t="s">
        <v>48</v>
      </c>
      <c r="E10" s="2" t="s">
        <v>49</v>
      </c>
      <c r="F10" s="3" t="s">
        <v>20</v>
      </c>
      <c r="G10" s="3" t="s">
        <v>39</v>
      </c>
      <c r="H10" s="3" t="s">
        <v>50</v>
      </c>
      <c r="I10" s="3"/>
      <c r="J10" s="4" t="s">
        <v>23</v>
      </c>
      <c r="K10" s="4"/>
      <c r="L10" s="4"/>
      <c r="M10" s="4"/>
      <c r="N10" s="4"/>
      <c r="O10" s="5"/>
    </row>
    <row r="11" customFormat="false" ht="27.75" hidden="false" customHeight="true" outlineLevel="0" collapsed="false">
      <c r="A11" s="2" t="s">
        <v>15</v>
      </c>
      <c r="B11" s="3" t="s">
        <v>44</v>
      </c>
      <c r="C11" s="2" t="s">
        <v>45</v>
      </c>
      <c r="D11" s="3" t="s">
        <v>51</v>
      </c>
      <c r="E11" s="2" t="s">
        <v>52</v>
      </c>
      <c r="F11" s="3" t="s">
        <v>35</v>
      </c>
      <c r="G11" s="3" t="s">
        <v>21</v>
      </c>
      <c r="H11" s="3" t="s">
        <v>53</v>
      </c>
      <c r="I11" s="3"/>
      <c r="J11" s="4" t="s">
        <v>23</v>
      </c>
      <c r="K11" s="4"/>
      <c r="L11" s="4"/>
      <c r="M11" s="4"/>
      <c r="N11" s="4"/>
      <c r="O11" s="5"/>
    </row>
    <row r="12" customFormat="false" ht="27.75" hidden="false" customHeight="true" outlineLevel="0" collapsed="false">
      <c r="A12" s="2" t="s">
        <v>15</v>
      </c>
      <c r="B12" s="3" t="s">
        <v>44</v>
      </c>
      <c r="C12" s="2" t="s">
        <v>45</v>
      </c>
      <c r="D12" s="3" t="s">
        <v>54</v>
      </c>
      <c r="E12" s="2" t="s">
        <v>55</v>
      </c>
      <c r="F12" s="3" t="s">
        <v>43</v>
      </c>
      <c r="G12" s="3"/>
      <c r="H12" s="3"/>
      <c r="I12" s="3"/>
      <c r="J12" s="4" t="s">
        <v>23</v>
      </c>
      <c r="K12" s="4"/>
      <c r="L12" s="4"/>
      <c r="M12" s="4"/>
      <c r="N12" s="4"/>
      <c r="O12" s="5"/>
    </row>
    <row r="13" customFormat="false" ht="27.75" hidden="false" customHeight="true" outlineLevel="0" collapsed="false">
      <c r="A13" s="2" t="s">
        <v>15</v>
      </c>
      <c r="B13" s="3" t="s">
        <v>44</v>
      </c>
      <c r="C13" s="2" t="s">
        <v>45</v>
      </c>
      <c r="D13" s="3" t="s">
        <v>56</v>
      </c>
      <c r="E13" s="2" t="s">
        <v>57</v>
      </c>
      <c r="F13" s="3" t="s">
        <v>43</v>
      </c>
      <c r="G13" s="3"/>
      <c r="H13" s="3"/>
      <c r="I13" s="3"/>
      <c r="J13" s="4" t="s">
        <v>23</v>
      </c>
      <c r="K13" s="4"/>
      <c r="L13" s="4"/>
      <c r="M13" s="4"/>
      <c r="N13" s="4"/>
      <c r="O13" s="5"/>
    </row>
    <row r="14" customFormat="false" ht="27.75" hidden="false" customHeight="true" outlineLevel="0" collapsed="false">
      <c r="A14" s="2" t="s">
        <v>58</v>
      </c>
      <c r="B14" s="3" t="s">
        <v>59</v>
      </c>
      <c r="C14" s="2" t="s">
        <v>60</v>
      </c>
      <c r="D14" s="3" t="s">
        <v>61</v>
      </c>
      <c r="E14" s="2" t="s">
        <v>62</v>
      </c>
      <c r="F14" s="3" t="s">
        <v>20</v>
      </c>
      <c r="G14" s="3" t="s">
        <v>39</v>
      </c>
      <c r="H14" s="3" t="s">
        <v>63</v>
      </c>
      <c r="I14" s="3"/>
      <c r="J14" s="4" t="s">
        <v>23</v>
      </c>
      <c r="K14" s="4"/>
      <c r="L14" s="4"/>
      <c r="M14" s="4"/>
      <c r="N14" s="4"/>
      <c r="O14" s="5"/>
    </row>
    <row r="15" customFormat="false" ht="27.75" hidden="false" customHeight="true" outlineLevel="0" collapsed="false">
      <c r="A15" s="2" t="s">
        <v>58</v>
      </c>
      <c r="B15" s="3" t="s">
        <v>59</v>
      </c>
      <c r="C15" s="2" t="s">
        <v>60</v>
      </c>
      <c r="D15" s="3" t="s">
        <v>64</v>
      </c>
      <c r="E15" s="2" t="s">
        <v>65</v>
      </c>
      <c r="F15" s="3" t="s">
        <v>20</v>
      </c>
      <c r="G15" s="3" t="s">
        <v>39</v>
      </c>
      <c r="H15" s="3" t="s">
        <v>66</v>
      </c>
      <c r="I15" s="3"/>
      <c r="J15" s="4" t="s">
        <v>23</v>
      </c>
      <c r="K15" s="4"/>
      <c r="L15" s="4"/>
      <c r="M15" s="4"/>
      <c r="N15" s="4"/>
      <c r="O15" s="5"/>
    </row>
    <row r="16" customFormat="false" ht="27.75" hidden="false" customHeight="true" outlineLevel="0" collapsed="false">
      <c r="A16" s="2" t="s">
        <v>58</v>
      </c>
      <c r="B16" s="3" t="s">
        <v>59</v>
      </c>
      <c r="C16" s="2" t="s">
        <v>60</v>
      </c>
      <c r="D16" s="3" t="s">
        <v>67</v>
      </c>
      <c r="E16" s="2" t="s">
        <v>68</v>
      </c>
      <c r="F16" s="3" t="s">
        <v>20</v>
      </c>
      <c r="G16" s="3" t="s">
        <v>39</v>
      </c>
      <c r="H16" s="3" t="s">
        <v>69</v>
      </c>
      <c r="I16" s="3"/>
      <c r="J16" s="4" t="s">
        <v>23</v>
      </c>
      <c r="K16" s="4"/>
      <c r="L16" s="4"/>
      <c r="M16" s="4"/>
      <c r="N16" s="4"/>
      <c r="O16" s="5"/>
    </row>
    <row r="17" customFormat="false" ht="27.75" hidden="false" customHeight="true" outlineLevel="0" collapsed="false">
      <c r="A17" s="2" t="s">
        <v>58</v>
      </c>
      <c r="B17" s="3" t="s">
        <v>59</v>
      </c>
      <c r="C17" s="2" t="s">
        <v>60</v>
      </c>
      <c r="D17" s="3" t="s">
        <v>70</v>
      </c>
      <c r="E17" s="2" t="s">
        <v>71</v>
      </c>
      <c r="F17" s="3" t="s">
        <v>20</v>
      </c>
      <c r="G17" s="3" t="s">
        <v>39</v>
      </c>
      <c r="H17" s="3" t="s">
        <v>72</v>
      </c>
      <c r="I17" s="3"/>
      <c r="J17" s="4" t="s">
        <v>23</v>
      </c>
      <c r="K17" s="4"/>
      <c r="L17" s="4"/>
      <c r="M17" s="4"/>
      <c r="N17" s="4"/>
      <c r="O17" s="5"/>
    </row>
    <row r="18" customFormat="false" ht="27.75" hidden="false" customHeight="true" outlineLevel="0" collapsed="false">
      <c r="A18" s="2" t="s">
        <v>58</v>
      </c>
      <c r="B18" s="3" t="s">
        <v>59</v>
      </c>
      <c r="C18" s="2" t="s">
        <v>60</v>
      </c>
      <c r="D18" s="3" t="s">
        <v>73</v>
      </c>
      <c r="E18" s="2" t="s">
        <v>74</v>
      </c>
      <c r="F18" s="3" t="s">
        <v>20</v>
      </c>
      <c r="G18" s="3" t="s">
        <v>39</v>
      </c>
      <c r="H18" s="3" t="s">
        <v>75</v>
      </c>
      <c r="I18" s="3"/>
      <c r="J18" s="4" t="s">
        <v>23</v>
      </c>
      <c r="K18" s="4"/>
      <c r="L18" s="4"/>
      <c r="M18" s="4"/>
      <c r="N18" s="4"/>
      <c r="O18" s="5"/>
    </row>
    <row r="19" customFormat="false" ht="27.75" hidden="false" customHeight="true" outlineLevel="0" collapsed="false">
      <c r="A19" s="2" t="s">
        <v>58</v>
      </c>
      <c r="B19" s="3" t="s">
        <v>59</v>
      </c>
      <c r="C19" s="2" t="s">
        <v>60</v>
      </c>
      <c r="D19" s="3" t="s">
        <v>76</v>
      </c>
      <c r="E19" s="2" t="s">
        <v>77</v>
      </c>
      <c r="F19" s="3" t="s">
        <v>20</v>
      </c>
      <c r="G19" s="3" t="s">
        <v>39</v>
      </c>
      <c r="H19" s="3" t="s">
        <v>78</v>
      </c>
      <c r="I19" s="3"/>
      <c r="J19" s="4" t="s">
        <v>23</v>
      </c>
      <c r="K19" s="4"/>
      <c r="L19" s="4"/>
      <c r="M19" s="4"/>
      <c r="N19" s="4"/>
      <c r="O19" s="5"/>
    </row>
    <row r="20" customFormat="false" ht="27.75" hidden="false" customHeight="true" outlineLevel="0" collapsed="false">
      <c r="A20" s="2" t="s">
        <v>58</v>
      </c>
      <c r="B20" s="3" t="s">
        <v>59</v>
      </c>
      <c r="C20" s="2" t="s">
        <v>60</v>
      </c>
      <c r="D20" s="3" t="s">
        <v>79</v>
      </c>
      <c r="E20" s="2" t="s">
        <v>80</v>
      </c>
      <c r="F20" s="3" t="s">
        <v>81</v>
      </c>
      <c r="G20" s="3"/>
      <c r="H20" s="3"/>
      <c r="I20" s="3"/>
      <c r="J20" s="4" t="s">
        <v>23</v>
      </c>
      <c r="K20" s="4"/>
      <c r="L20" s="4"/>
      <c r="M20" s="4"/>
      <c r="N20" s="4"/>
      <c r="O20" s="5"/>
    </row>
    <row r="21" customFormat="false" ht="27.75" hidden="false" customHeight="true" outlineLevel="0" collapsed="false">
      <c r="A21" s="2" t="s">
        <v>58</v>
      </c>
      <c r="B21" s="3" t="s">
        <v>82</v>
      </c>
      <c r="C21" s="2" t="s">
        <v>83</v>
      </c>
      <c r="D21" s="3" t="s">
        <v>84</v>
      </c>
      <c r="E21" s="2" t="s">
        <v>85</v>
      </c>
      <c r="F21" s="3" t="s">
        <v>35</v>
      </c>
      <c r="G21" s="3" t="s">
        <v>21</v>
      </c>
      <c r="H21" s="3" t="s">
        <v>86</v>
      </c>
      <c r="I21" s="3"/>
      <c r="J21" s="4" t="s">
        <v>23</v>
      </c>
      <c r="K21" s="4"/>
      <c r="L21" s="4"/>
      <c r="M21" s="4"/>
      <c r="N21" s="4"/>
      <c r="O21" s="5"/>
    </row>
    <row r="22" customFormat="false" ht="27.75" hidden="false" customHeight="true" outlineLevel="0" collapsed="false">
      <c r="A22" s="2" t="s">
        <v>58</v>
      </c>
      <c r="B22" s="3" t="s">
        <v>82</v>
      </c>
      <c r="C22" s="2" t="s">
        <v>83</v>
      </c>
      <c r="D22" s="3" t="s">
        <v>87</v>
      </c>
      <c r="E22" s="2" t="s">
        <v>88</v>
      </c>
      <c r="F22" s="3" t="s">
        <v>35</v>
      </c>
      <c r="G22" s="3" t="s">
        <v>39</v>
      </c>
      <c r="H22" s="3" t="s">
        <v>89</v>
      </c>
      <c r="I22" s="3"/>
      <c r="J22" s="4" t="s">
        <v>23</v>
      </c>
      <c r="K22" s="4"/>
      <c r="L22" s="4"/>
      <c r="M22" s="4"/>
      <c r="N22" s="4"/>
      <c r="O22" s="5"/>
    </row>
    <row r="23" customFormat="false" ht="27.75" hidden="false" customHeight="true" outlineLevel="0" collapsed="false">
      <c r="A23" s="2" t="s">
        <v>58</v>
      </c>
      <c r="B23" s="3" t="s">
        <v>82</v>
      </c>
      <c r="C23" s="2" t="s">
        <v>83</v>
      </c>
      <c r="D23" s="3" t="s">
        <v>90</v>
      </c>
      <c r="E23" s="2" t="s">
        <v>91</v>
      </c>
      <c r="F23" s="3" t="s">
        <v>20</v>
      </c>
      <c r="G23" s="3" t="s">
        <v>39</v>
      </c>
      <c r="H23" s="3" t="s">
        <v>92</v>
      </c>
      <c r="I23" s="3"/>
      <c r="J23" s="4" t="s">
        <v>23</v>
      </c>
      <c r="K23" s="4"/>
      <c r="L23" s="4"/>
      <c r="M23" s="4"/>
      <c r="N23" s="4"/>
      <c r="O23" s="5"/>
    </row>
    <row r="24" customFormat="false" ht="27.75" hidden="false" customHeight="true" outlineLevel="0" collapsed="false">
      <c r="A24" s="2" t="s">
        <v>58</v>
      </c>
      <c r="B24" s="3" t="s">
        <v>82</v>
      </c>
      <c r="C24" s="2" t="s">
        <v>83</v>
      </c>
      <c r="D24" s="3" t="s">
        <v>93</v>
      </c>
      <c r="E24" s="2" t="s">
        <v>94</v>
      </c>
      <c r="F24" s="3" t="s">
        <v>20</v>
      </c>
      <c r="G24" s="3" t="s">
        <v>39</v>
      </c>
      <c r="H24" s="3" t="s">
        <v>95</v>
      </c>
      <c r="I24" s="3"/>
      <c r="J24" s="4" t="s">
        <v>23</v>
      </c>
      <c r="K24" s="4"/>
      <c r="L24" s="4"/>
      <c r="M24" s="4"/>
      <c r="N24" s="4"/>
      <c r="O24" s="5"/>
    </row>
    <row r="25" customFormat="false" ht="27.75" hidden="false" customHeight="true" outlineLevel="0" collapsed="false">
      <c r="A25" s="2" t="s">
        <v>58</v>
      </c>
      <c r="B25" s="3" t="s">
        <v>82</v>
      </c>
      <c r="C25" s="2" t="s">
        <v>83</v>
      </c>
      <c r="D25" s="3" t="s">
        <v>96</v>
      </c>
      <c r="E25" s="2" t="s">
        <v>97</v>
      </c>
      <c r="F25" s="3" t="s">
        <v>20</v>
      </c>
      <c r="G25" s="3" t="s">
        <v>39</v>
      </c>
      <c r="H25" s="3" t="s">
        <v>98</v>
      </c>
      <c r="I25" s="3"/>
      <c r="J25" s="4" t="s">
        <v>23</v>
      </c>
      <c r="K25" s="4"/>
      <c r="L25" s="4"/>
      <c r="M25" s="4"/>
      <c r="N25" s="4"/>
      <c r="O25" s="5"/>
    </row>
    <row r="26" customFormat="false" ht="27.75" hidden="false" customHeight="true" outlineLevel="0" collapsed="false">
      <c r="A26" s="2" t="s">
        <v>58</v>
      </c>
      <c r="B26" s="3" t="s">
        <v>82</v>
      </c>
      <c r="C26" s="2" t="s">
        <v>83</v>
      </c>
      <c r="D26" s="3" t="s">
        <v>99</v>
      </c>
      <c r="E26" s="2" t="s">
        <v>100</v>
      </c>
      <c r="F26" s="3" t="s">
        <v>81</v>
      </c>
      <c r="G26" s="3"/>
      <c r="H26" s="3"/>
      <c r="I26" s="3"/>
      <c r="J26" s="4" t="s">
        <v>23</v>
      </c>
      <c r="K26" s="4"/>
      <c r="L26" s="4"/>
      <c r="M26" s="4"/>
      <c r="N26" s="4"/>
      <c r="O26" s="5"/>
    </row>
    <row r="27" customFormat="false" ht="27.75" hidden="false" customHeight="true" outlineLevel="0" collapsed="false">
      <c r="A27" s="2" t="s">
        <v>58</v>
      </c>
      <c r="B27" s="3" t="s">
        <v>101</v>
      </c>
      <c r="C27" s="2" t="s">
        <v>102</v>
      </c>
      <c r="D27" s="3" t="s">
        <v>103</v>
      </c>
      <c r="E27" s="2" t="s">
        <v>104</v>
      </c>
      <c r="F27" s="3" t="s">
        <v>81</v>
      </c>
      <c r="G27" s="3"/>
      <c r="H27" s="3"/>
      <c r="I27" s="3"/>
      <c r="J27" s="4" t="s">
        <v>23</v>
      </c>
      <c r="K27" s="4"/>
      <c r="L27" s="4"/>
      <c r="M27" s="4"/>
      <c r="N27" s="4"/>
      <c r="O27" s="5"/>
    </row>
    <row r="28" customFormat="false" ht="27.75" hidden="false" customHeight="true" outlineLevel="0" collapsed="false">
      <c r="A28" s="2" t="s">
        <v>58</v>
      </c>
      <c r="B28" s="3" t="s">
        <v>101</v>
      </c>
      <c r="C28" s="2" t="s">
        <v>102</v>
      </c>
      <c r="D28" s="3" t="s">
        <v>105</v>
      </c>
      <c r="E28" s="2" t="s">
        <v>106</v>
      </c>
      <c r="F28" s="3" t="s">
        <v>81</v>
      </c>
      <c r="G28" s="3"/>
      <c r="H28" s="3"/>
      <c r="I28" s="3"/>
      <c r="J28" s="4" t="s">
        <v>23</v>
      </c>
      <c r="K28" s="4"/>
      <c r="L28" s="4"/>
      <c r="M28" s="4"/>
      <c r="N28" s="4"/>
      <c r="O28" s="5"/>
    </row>
    <row r="29" customFormat="false" ht="27.75" hidden="false" customHeight="true" outlineLevel="0" collapsed="false">
      <c r="A29" s="2" t="s">
        <v>58</v>
      </c>
      <c r="B29" s="3" t="s">
        <v>101</v>
      </c>
      <c r="C29" s="2" t="s">
        <v>102</v>
      </c>
      <c r="D29" s="3" t="s">
        <v>107</v>
      </c>
      <c r="E29" s="2" t="s">
        <v>108</v>
      </c>
      <c r="F29" s="3" t="s">
        <v>20</v>
      </c>
      <c r="G29" s="3" t="s">
        <v>39</v>
      </c>
      <c r="H29" s="3" t="s">
        <v>109</v>
      </c>
      <c r="I29" s="3"/>
      <c r="J29" s="4" t="s">
        <v>23</v>
      </c>
      <c r="K29" s="4"/>
      <c r="L29" s="4"/>
      <c r="M29" s="4"/>
      <c r="N29" s="4"/>
      <c r="O29" s="5"/>
    </row>
    <row r="30" customFormat="false" ht="27.75" hidden="false" customHeight="true" outlineLevel="0" collapsed="false">
      <c r="A30" s="2" t="s">
        <v>58</v>
      </c>
      <c r="B30" s="3" t="s">
        <v>101</v>
      </c>
      <c r="C30" s="2" t="s">
        <v>102</v>
      </c>
      <c r="D30" s="3" t="s">
        <v>110</v>
      </c>
      <c r="E30" s="2" t="s">
        <v>111</v>
      </c>
      <c r="F30" s="3" t="s">
        <v>20</v>
      </c>
      <c r="G30" s="3" t="s">
        <v>39</v>
      </c>
      <c r="H30" s="3" t="s">
        <v>112</v>
      </c>
      <c r="I30" s="3"/>
      <c r="J30" s="4" t="s">
        <v>23</v>
      </c>
      <c r="K30" s="4"/>
      <c r="L30" s="4"/>
      <c r="M30" s="4"/>
      <c r="N30" s="4"/>
      <c r="O30" s="5"/>
    </row>
    <row r="31" customFormat="false" ht="27.75" hidden="false" customHeight="true" outlineLevel="0" collapsed="false">
      <c r="A31" s="2" t="s">
        <v>58</v>
      </c>
      <c r="B31" s="3" t="s">
        <v>101</v>
      </c>
      <c r="C31" s="2" t="s">
        <v>102</v>
      </c>
      <c r="D31" s="3" t="s">
        <v>113</v>
      </c>
      <c r="E31" s="2" t="s">
        <v>114</v>
      </c>
      <c r="F31" s="3" t="s">
        <v>20</v>
      </c>
      <c r="G31" s="3" t="s">
        <v>39</v>
      </c>
      <c r="H31" s="3" t="s">
        <v>115</v>
      </c>
      <c r="I31" s="3" t="s">
        <v>116</v>
      </c>
      <c r="J31" s="4" t="s">
        <v>23</v>
      </c>
      <c r="K31" s="4"/>
      <c r="L31" s="4"/>
      <c r="M31" s="4"/>
      <c r="N31" s="4"/>
      <c r="O31" s="5"/>
    </row>
    <row r="32" customFormat="false" ht="27.75" hidden="false" customHeight="true" outlineLevel="0" collapsed="false">
      <c r="A32" s="2" t="s">
        <v>58</v>
      </c>
      <c r="B32" s="3" t="s">
        <v>101</v>
      </c>
      <c r="C32" s="2" t="s">
        <v>102</v>
      </c>
      <c r="D32" s="3" t="s">
        <v>117</v>
      </c>
      <c r="E32" s="2" t="s">
        <v>118</v>
      </c>
      <c r="F32" s="3" t="s">
        <v>81</v>
      </c>
      <c r="G32" s="3"/>
      <c r="H32" s="3"/>
      <c r="I32" s="3"/>
      <c r="J32" s="4" t="s">
        <v>23</v>
      </c>
      <c r="K32" s="4"/>
      <c r="L32" s="4"/>
      <c r="M32" s="4"/>
      <c r="N32" s="4"/>
      <c r="O32" s="5"/>
    </row>
    <row r="33" customFormat="false" ht="27.75" hidden="false" customHeight="true" outlineLevel="0" collapsed="false">
      <c r="A33" s="2" t="s">
        <v>119</v>
      </c>
      <c r="B33" s="3" t="s">
        <v>120</v>
      </c>
      <c r="C33" s="2" t="s">
        <v>121</v>
      </c>
      <c r="D33" s="3" t="s">
        <v>122</v>
      </c>
      <c r="E33" s="2" t="s">
        <v>123</v>
      </c>
      <c r="F33" s="3" t="s">
        <v>81</v>
      </c>
      <c r="G33" s="3"/>
      <c r="H33" s="3"/>
      <c r="I33" s="3"/>
      <c r="J33" s="4" t="s">
        <v>23</v>
      </c>
      <c r="K33" s="4"/>
      <c r="L33" s="4"/>
      <c r="M33" s="4"/>
      <c r="N33" s="4"/>
      <c r="O33" s="5"/>
    </row>
    <row r="34" customFormat="false" ht="27.75" hidden="false" customHeight="true" outlineLevel="0" collapsed="false">
      <c r="A34" s="2" t="s">
        <v>119</v>
      </c>
      <c r="B34" s="3" t="s">
        <v>120</v>
      </c>
      <c r="C34" s="2" t="s">
        <v>121</v>
      </c>
      <c r="D34" s="3" t="s">
        <v>124</v>
      </c>
      <c r="E34" s="2" t="s">
        <v>125</v>
      </c>
      <c r="F34" s="3" t="s">
        <v>81</v>
      </c>
      <c r="G34" s="3"/>
      <c r="H34" s="3"/>
      <c r="I34" s="3"/>
      <c r="J34" s="4" t="s">
        <v>23</v>
      </c>
      <c r="K34" s="4"/>
      <c r="L34" s="4"/>
      <c r="M34" s="4"/>
      <c r="N34" s="4"/>
      <c r="O34" s="5"/>
    </row>
    <row r="35" customFormat="false" ht="27.75" hidden="false" customHeight="true" outlineLevel="0" collapsed="false">
      <c r="A35" s="2" t="s">
        <v>119</v>
      </c>
      <c r="B35" s="3" t="s">
        <v>120</v>
      </c>
      <c r="C35" s="2" t="s">
        <v>121</v>
      </c>
      <c r="D35" s="3" t="s">
        <v>126</v>
      </c>
      <c r="E35" s="2" t="s">
        <v>127</v>
      </c>
      <c r="F35" s="3" t="s">
        <v>20</v>
      </c>
      <c r="G35" s="3" t="s">
        <v>21</v>
      </c>
      <c r="H35" s="3" t="s">
        <v>128</v>
      </c>
      <c r="I35" s="3"/>
      <c r="J35" s="4" t="s">
        <v>23</v>
      </c>
      <c r="K35" s="4"/>
      <c r="L35" s="4"/>
      <c r="M35" s="4"/>
      <c r="N35" s="4"/>
      <c r="O35" s="5"/>
    </row>
    <row r="36" customFormat="false" ht="27.75" hidden="false" customHeight="true" outlineLevel="0" collapsed="false">
      <c r="A36" s="2" t="s">
        <v>119</v>
      </c>
      <c r="B36" s="3" t="s">
        <v>120</v>
      </c>
      <c r="C36" s="2" t="s">
        <v>121</v>
      </c>
      <c r="D36" s="3" t="s">
        <v>129</v>
      </c>
      <c r="E36" s="2" t="s">
        <v>130</v>
      </c>
      <c r="F36" s="3" t="s">
        <v>81</v>
      </c>
      <c r="G36" s="3"/>
      <c r="H36" s="3"/>
      <c r="I36" s="3"/>
      <c r="J36" s="4" t="s">
        <v>23</v>
      </c>
      <c r="K36" s="4"/>
      <c r="L36" s="4"/>
      <c r="M36" s="4"/>
      <c r="N36" s="4"/>
      <c r="O36" s="5"/>
    </row>
    <row r="37" customFormat="false" ht="27.75" hidden="false" customHeight="true" outlineLevel="0" collapsed="false">
      <c r="A37" s="2" t="s">
        <v>119</v>
      </c>
      <c r="B37" s="3" t="s">
        <v>131</v>
      </c>
      <c r="C37" s="2" t="s">
        <v>132</v>
      </c>
      <c r="D37" s="3" t="s">
        <v>133</v>
      </c>
      <c r="E37" s="2" t="s">
        <v>134</v>
      </c>
      <c r="F37" s="3" t="s">
        <v>20</v>
      </c>
      <c r="G37" s="3" t="s">
        <v>39</v>
      </c>
      <c r="H37" s="3" t="s">
        <v>135</v>
      </c>
      <c r="I37" s="3"/>
      <c r="J37" s="4" t="s">
        <v>23</v>
      </c>
      <c r="K37" s="4"/>
      <c r="L37" s="4"/>
      <c r="M37" s="4"/>
      <c r="N37" s="4"/>
      <c r="O37" s="5"/>
    </row>
    <row r="38" customFormat="false" ht="27.75" hidden="false" customHeight="true" outlineLevel="0" collapsed="false">
      <c r="A38" s="2" t="s">
        <v>119</v>
      </c>
      <c r="B38" s="3" t="s">
        <v>131</v>
      </c>
      <c r="C38" s="2" t="s">
        <v>132</v>
      </c>
      <c r="D38" s="3" t="s">
        <v>136</v>
      </c>
      <c r="E38" s="2" t="s">
        <v>137</v>
      </c>
      <c r="F38" s="3" t="s">
        <v>43</v>
      </c>
      <c r="G38" s="3"/>
      <c r="H38" s="3"/>
      <c r="I38" s="3"/>
      <c r="J38" s="4" t="s">
        <v>23</v>
      </c>
      <c r="K38" s="4"/>
      <c r="L38" s="4"/>
      <c r="M38" s="4"/>
      <c r="N38" s="4"/>
      <c r="O38" s="5"/>
    </row>
    <row r="39" customFormat="false" ht="27.75" hidden="false" customHeight="true" outlineLevel="0" collapsed="false">
      <c r="A39" s="2" t="s">
        <v>119</v>
      </c>
      <c r="B39" s="3" t="s">
        <v>131</v>
      </c>
      <c r="C39" s="2" t="s">
        <v>132</v>
      </c>
      <c r="D39" s="3" t="s">
        <v>138</v>
      </c>
      <c r="E39" s="2" t="s">
        <v>139</v>
      </c>
      <c r="F39" s="3" t="s">
        <v>35</v>
      </c>
      <c r="G39" s="3" t="s">
        <v>21</v>
      </c>
      <c r="H39" s="3" t="s">
        <v>140</v>
      </c>
      <c r="I39" s="3"/>
      <c r="J39" s="4" t="s">
        <v>23</v>
      </c>
      <c r="K39" s="4"/>
      <c r="L39" s="4"/>
      <c r="M39" s="4"/>
      <c r="N39" s="4"/>
      <c r="O39" s="5"/>
    </row>
    <row r="40" customFormat="false" ht="27.75" hidden="false" customHeight="true" outlineLevel="0" collapsed="false">
      <c r="A40" s="2" t="s">
        <v>119</v>
      </c>
      <c r="B40" s="3" t="s">
        <v>131</v>
      </c>
      <c r="C40" s="2" t="s">
        <v>132</v>
      </c>
      <c r="D40" s="3" t="s">
        <v>141</v>
      </c>
      <c r="E40" s="2" t="s">
        <v>142</v>
      </c>
      <c r="F40" s="3" t="s">
        <v>20</v>
      </c>
      <c r="G40" s="3" t="s">
        <v>21</v>
      </c>
      <c r="H40" s="3" t="s">
        <v>143</v>
      </c>
      <c r="I40" s="3"/>
      <c r="J40" s="4" t="s">
        <v>23</v>
      </c>
      <c r="K40" s="4"/>
      <c r="L40" s="4"/>
      <c r="M40" s="4"/>
      <c r="N40" s="4"/>
      <c r="O40" s="5"/>
    </row>
    <row r="41" customFormat="false" ht="27.75" hidden="false" customHeight="true" outlineLevel="0" collapsed="false">
      <c r="A41" s="2" t="s">
        <v>119</v>
      </c>
      <c r="B41" s="3" t="s">
        <v>131</v>
      </c>
      <c r="C41" s="2" t="s">
        <v>132</v>
      </c>
      <c r="D41" s="3" t="s">
        <v>144</v>
      </c>
      <c r="E41" s="2" t="s">
        <v>145</v>
      </c>
      <c r="F41" s="3" t="s">
        <v>43</v>
      </c>
      <c r="G41" s="3"/>
      <c r="H41" s="3"/>
      <c r="I41" s="3"/>
      <c r="J41" s="4" t="s">
        <v>23</v>
      </c>
      <c r="K41" s="4"/>
      <c r="L41" s="4"/>
      <c r="M41" s="4"/>
      <c r="N41" s="4"/>
      <c r="O41" s="5"/>
    </row>
    <row r="42" customFormat="false" ht="27.75" hidden="false" customHeight="true" outlineLevel="0" collapsed="false">
      <c r="A42" s="2" t="s">
        <v>119</v>
      </c>
      <c r="B42" s="3" t="s">
        <v>146</v>
      </c>
      <c r="C42" s="2" t="s">
        <v>147</v>
      </c>
      <c r="D42" s="3" t="s">
        <v>148</v>
      </c>
      <c r="E42" s="2" t="s">
        <v>149</v>
      </c>
      <c r="F42" s="3" t="s">
        <v>35</v>
      </c>
      <c r="G42" s="3" t="s">
        <v>21</v>
      </c>
      <c r="H42" s="3" t="s">
        <v>150</v>
      </c>
      <c r="I42" s="3"/>
      <c r="J42" s="4" t="s">
        <v>23</v>
      </c>
      <c r="K42" s="4"/>
      <c r="L42" s="4"/>
      <c r="M42" s="4"/>
      <c r="N42" s="4"/>
      <c r="O42" s="5"/>
    </row>
    <row r="43" customFormat="false" ht="27.75" hidden="false" customHeight="true" outlineLevel="0" collapsed="false">
      <c r="A43" s="2" t="s">
        <v>119</v>
      </c>
      <c r="B43" s="3" t="s">
        <v>146</v>
      </c>
      <c r="C43" s="2" t="s">
        <v>147</v>
      </c>
      <c r="D43" s="3" t="s">
        <v>151</v>
      </c>
      <c r="E43" s="2" t="s">
        <v>152</v>
      </c>
      <c r="F43" s="3" t="s">
        <v>20</v>
      </c>
      <c r="G43" s="3" t="s">
        <v>21</v>
      </c>
      <c r="H43" s="3" t="s">
        <v>153</v>
      </c>
      <c r="I43" s="3"/>
      <c r="J43" s="4" t="s">
        <v>23</v>
      </c>
      <c r="K43" s="4"/>
      <c r="L43" s="4"/>
      <c r="M43" s="4"/>
      <c r="N43" s="4"/>
      <c r="O43" s="5"/>
    </row>
    <row r="44" customFormat="false" ht="27.75" hidden="false" customHeight="true" outlineLevel="0" collapsed="false">
      <c r="A44" s="2" t="s">
        <v>119</v>
      </c>
      <c r="B44" s="3" t="s">
        <v>146</v>
      </c>
      <c r="C44" s="2" t="s">
        <v>147</v>
      </c>
      <c r="D44" s="3" t="s">
        <v>154</v>
      </c>
      <c r="E44" s="2" t="s">
        <v>155</v>
      </c>
      <c r="F44" s="3" t="s">
        <v>35</v>
      </c>
      <c r="G44" s="3" t="s">
        <v>21</v>
      </c>
      <c r="H44" s="3" t="s">
        <v>156</v>
      </c>
      <c r="I44" s="3" t="s">
        <v>116</v>
      </c>
      <c r="J44" s="4" t="s">
        <v>23</v>
      </c>
      <c r="K44" s="4"/>
      <c r="L44" s="4"/>
      <c r="M44" s="4"/>
      <c r="N44" s="4"/>
      <c r="O44" s="5"/>
    </row>
    <row r="45" customFormat="false" ht="27.75" hidden="false" customHeight="true" outlineLevel="0" collapsed="false">
      <c r="A45" s="2" t="s">
        <v>119</v>
      </c>
      <c r="B45" s="3" t="s">
        <v>146</v>
      </c>
      <c r="C45" s="2" t="s">
        <v>147</v>
      </c>
      <c r="D45" s="3" t="s">
        <v>157</v>
      </c>
      <c r="E45" s="2" t="s">
        <v>158</v>
      </c>
      <c r="F45" s="3" t="s">
        <v>35</v>
      </c>
      <c r="G45" s="3" t="s">
        <v>39</v>
      </c>
      <c r="H45" s="3" t="s">
        <v>159</v>
      </c>
      <c r="I45" s="3" t="s">
        <v>116</v>
      </c>
      <c r="J45" s="4" t="s">
        <v>23</v>
      </c>
      <c r="K45" s="4"/>
      <c r="L45" s="4"/>
      <c r="M45" s="4"/>
      <c r="N45" s="4"/>
      <c r="O45" s="5"/>
    </row>
    <row r="46" customFormat="false" ht="27.75" hidden="false" customHeight="true" outlineLevel="0" collapsed="false">
      <c r="A46" s="2" t="s">
        <v>119</v>
      </c>
      <c r="B46" s="3" t="s">
        <v>146</v>
      </c>
      <c r="C46" s="2" t="s">
        <v>147</v>
      </c>
      <c r="D46" s="3" t="s">
        <v>160</v>
      </c>
      <c r="E46" s="2" t="s">
        <v>161</v>
      </c>
      <c r="F46" s="3" t="s">
        <v>35</v>
      </c>
      <c r="G46" s="3" t="s">
        <v>21</v>
      </c>
      <c r="H46" s="3" t="s">
        <v>162</v>
      </c>
      <c r="I46" s="3" t="s">
        <v>116</v>
      </c>
      <c r="J46" s="4" t="s">
        <v>23</v>
      </c>
      <c r="K46" s="4"/>
      <c r="L46" s="4"/>
      <c r="M46" s="4"/>
      <c r="N46" s="4"/>
      <c r="O46" s="5"/>
    </row>
    <row r="47" customFormat="false" ht="27.75" hidden="false" customHeight="true" outlineLevel="0" collapsed="false">
      <c r="A47" s="2" t="s">
        <v>119</v>
      </c>
      <c r="B47" s="3" t="s">
        <v>146</v>
      </c>
      <c r="C47" s="2" t="s">
        <v>147</v>
      </c>
      <c r="D47" s="3" t="s">
        <v>163</v>
      </c>
      <c r="E47" s="2" t="s">
        <v>164</v>
      </c>
      <c r="F47" s="3" t="s">
        <v>20</v>
      </c>
      <c r="G47" s="3" t="s">
        <v>21</v>
      </c>
      <c r="H47" s="3" t="s">
        <v>165</v>
      </c>
      <c r="I47" s="3"/>
      <c r="J47" s="4" t="s">
        <v>23</v>
      </c>
      <c r="K47" s="4"/>
      <c r="L47" s="4"/>
      <c r="M47" s="4"/>
      <c r="N47" s="4"/>
      <c r="O47" s="5"/>
    </row>
    <row r="48" customFormat="false" ht="27.75" hidden="false" customHeight="true" outlineLevel="0" collapsed="false">
      <c r="A48" s="2" t="s">
        <v>119</v>
      </c>
      <c r="B48" s="3" t="s">
        <v>146</v>
      </c>
      <c r="C48" s="2" t="s">
        <v>147</v>
      </c>
      <c r="D48" s="3" t="s">
        <v>166</v>
      </c>
      <c r="E48" s="2" t="s">
        <v>167</v>
      </c>
      <c r="F48" s="3" t="s">
        <v>35</v>
      </c>
      <c r="G48" s="3" t="s">
        <v>21</v>
      </c>
      <c r="H48" s="3" t="s">
        <v>168</v>
      </c>
      <c r="I48" s="3"/>
      <c r="J48" s="4" t="s">
        <v>23</v>
      </c>
      <c r="K48" s="4"/>
      <c r="L48" s="4"/>
      <c r="M48" s="4"/>
      <c r="N48" s="4"/>
      <c r="O48" s="5"/>
    </row>
    <row r="49" customFormat="false" ht="27.75" hidden="false" customHeight="true" outlineLevel="0" collapsed="false">
      <c r="A49" s="2" t="s">
        <v>119</v>
      </c>
      <c r="B49" s="3" t="s">
        <v>146</v>
      </c>
      <c r="C49" s="2" t="s">
        <v>147</v>
      </c>
      <c r="D49" s="3" t="s">
        <v>169</v>
      </c>
      <c r="E49" s="2" t="s">
        <v>170</v>
      </c>
      <c r="F49" s="3" t="s">
        <v>35</v>
      </c>
      <c r="G49" s="3" t="s">
        <v>21</v>
      </c>
      <c r="H49" s="3" t="s">
        <v>171</v>
      </c>
      <c r="I49" s="3"/>
      <c r="J49" s="4" t="s">
        <v>23</v>
      </c>
      <c r="K49" s="4"/>
      <c r="L49" s="4"/>
      <c r="M49" s="4"/>
      <c r="N49" s="4"/>
      <c r="O49" s="5"/>
    </row>
    <row r="50" customFormat="false" ht="27.75" hidden="false" customHeight="true" outlineLevel="0" collapsed="false">
      <c r="A50" s="2" t="s">
        <v>119</v>
      </c>
      <c r="B50" s="3" t="s">
        <v>146</v>
      </c>
      <c r="C50" s="2" t="s">
        <v>147</v>
      </c>
      <c r="D50" s="3" t="s">
        <v>172</v>
      </c>
      <c r="E50" s="2" t="s">
        <v>173</v>
      </c>
      <c r="F50" s="3" t="s">
        <v>20</v>
      </c>
      <c r="G50" s="3" t="s">
        <v>21</v>
      </c>
      <c r="H50" s="3" t="s">
        <v>174</v>
      </c>
      <c r="I50" s="3"/>
      <c r="J50" s="4" t="s">
        <v>23</v>
      </c>
      <c r="K50" s="4"/>
      <c r="L50" s="4"/>
      <c r="M50" s="4"/>
      <c r="N50" s="4"/>
      <c r="O50" s="5"/>
    </row>
    <row r="51" customFormat="false" ht="27.75" hidden="false" customHeight="true" outlineLevel="0" collapsed="false">
      <c r="A51" s="2" t="s">
        <v>119</v>
      </c>
      <c r="B51" s="3" t="s">
        <v>146</v>
      </c>
      <c r="C51" s="2" t="s">
        <v>147</v>
      </c>
      <c r="D51" s="3" t="s">
        <v>175</v>
      </c>
      <c r="E51" s="2" t="s">
        <v>176</v>
      </c>
      <c r="F51" s="3" t="s">
        <v>20</v>
      </c>
      <c r="G51" s="3" t="s">
        <v>21</v>
      </c>
      <c r="H51" s="3" t="s">
        <v>177</v>
      </c>
      <c r="I51" s="3"/>
      <c r="J51" s="4" t="s">
        <v>23</v>
      </c>
      <c r="K51" s="4"/>
      <c r="L51" s="4"/>
      <c r="M51" s="4"/>
      <c r="N51" s="4"/>
      <c r="O51" s="5"/>
    </row>
    <row r="52" customFormat="false" ht="27.75" hidden="false" customHeight="true" outlineLevel="0" collapsed="false">
      <c r="A52" s="2" t="s">
        <v>119</v>
      </c>
      <c r="B52" s="3" t="s">
        <v>146</v>
      </c>
      <c r="C52" s="2" t="s">
        <v>147</v>
      </c>
      <c r="D52" s="3" t="s">
        <v>178</v>
      </c>
      <c r="E52" s="2" t="s">
        <v>179</v>
      </c>
      <c r="F52" s="3" t="s">
        <v>81</v>
      </c>
      <c r="G52" s="3"/>
      <c r="H52" s="3"/>
      <c r="I52" s="3"/>
      <c r="J52" s="4" t="s">
        <v>23</v>
      </c>
      <c r="K52" s="4"/>
      <c r="L52" s="4"/>
      <c r="M52" s="4"/>
      <c r="N52" s="4"/>
      <c r="O52" s="5"/>
    </row>
    <row r="53" customFormat="false" ht="27.75" hidden="false" customHeight="true" outlineLevel="0" collapsed="false">
      <c r="A53" s="2" t="s">
        <v>119</v>
      </c>
      <c r="B53" s="3" t="s">
        <v>180</v>
      </c>
      <c r="C53" s="2" t="s">
        <v>181</v>
      </c>
      <c r="D53" s="3" t="s">
        <v>182</v>
      </c>
      <c r="E53" s="2" t="s">
        <v>183</v>
      </c>
      <c r="F53" s="3" t="s">
        <v>81</v>
      </c>
      <c r="G53" s="3"/>
      <c r="H53" s="3"/>
      <c r="I53" s="3"/>
      <c r="J53" s="4" t="s">
        <v>23</v>
      </c>
      <c r="K53" s="4"/>
      <c r="L53" s="4"/>
      <c r="M53" s="4"/>
      <c r="N53" s="4"/>
      <c r="O53" s="5"/>
    </row>
    <row r="54" customFormat="false" ht="27.75" hidden="false" customHeight="true" outlineLevel="0" collapsed="false">
      <c r="A54" s="2" t="s">
        <v>119</v>
      </c>
      <c r="B54" s="3" t="s">
        <v>180</v>
      </c>
      <c r="C54" s="2" t="s">
        <v>181</v>
      </c>
      <c r="D54" s="3" t="s">
        <v>184</v>
      </c>
      <c r="E54" s="2" t="s">
        <v>185</v>
      </c>
      <c r="F54" s="3" t="s">
        <v>35</v>
      </c>
      <c r="G54" s="3" t="s">
        <v>39</v>
      </c>
      <c r="H54" s="3" t="s">
        <v>186</v>
      </c>
      <c r="I54" s="3"/>
      <c r="J54" s="4" t="s">
        <v>23</v>
      </c>
      <c r="K54" s="4"/>
      <c r="L54" s="4"/>
      <c r="M54" s="4"/>
      <c r="N54" s="4"/>
      <c r="O54" s="5"/>
    </row>
    <row r="55" customFormat="false" ht="27.75" hidden="false" customHeight="true" outlineLevel="0" collapsed="false">
      <c r="A55" s="2" t="s">
        <v>119</v>
      </c>
      <c r="B55" s="3" t="s">
        <v>180</v>
      </c>
      <c r="C55" s="2" t="s">
        <v>181</v>
      </c>
      <c r="D55" s="3" t="s">
        <v>187</v>
      </c>
      <c r="E55" s="2" t="s">
        <v>188</v>
      </c>
      <c r="F55" s="3" t="s">
        <v>35</v>
      </c>
      <c r="G55" s="3" t="s">
        <v>39</v>
      </c>
      <c r="H55" s="3" t="s">
        <v>189</v>
      </c>
      <c r="I55" s="3"/>
      <c r="J55" s="4" t="s">
        <v>23</v>
      </c>
      <c r="K55" s="4"/>
      <c r="L55" s="4"/>
      <c r="M55" s="4"/>
      <c r="N55" s="4"/>
      <c r="O55" s="5"/>
    </row>
    <row r="56" customFormat="false" ht="27.75" hidden="false" customHeight="true" outlineLevel="0" collapsed="false">
      <c r="A56" s="2" t="s">
        <v>119</v>
      </c>
      <c r="B56" s="3" t="s">
        <v>180</v>
      </c>
      <c r="C56" s="2" t="s">
        <v>181</v>
      </c>
      <c r="D56" s="3" t="s">
        <v>190</v>
      </c>
      <c r="E56" s="2" t="s">
        <v>191</v>
      </c>
      <c r="F56" s="3" t="s">
        <v>20</v>
      </c>
      <c r="G56" s="3" t="s">
        <v>39</v>
      </c>
      <c r="H56" s="3" t="s">
        <v>192</v>
      </c>
      <c r="I56" s="3"/>
      <c r="J56" s="4" t="s">
        <v>23</v>
      </c>
      <c r="K56" s="4"/>
      <c r="L56" s="4"/>
      <c r="M56" s="4"/>
      <c r="N56" s="4"/>
      <c r="O56" s="5"/>
    </row>
    <row r="57" customFormat="false" ht="27.75" hidden="false" customHeight="true" outlineLevel="0" collapsed="false">
      <c r="A57" s="2" t="s">
        <v>119</v>
      </c>
      <c r="B57" s="3" t="s">
        <v>180</v>
      </c>
      <c r="C57" s="2" t="s">
        <v>181</v>
      </c>
      <c r="D57" s="3" t="s">
        <v>193</v>
      </c>
      <c r="E57" s="2" t="s">
        <v>194</v>
      </c>
      <c r="F57" s="3" t="s">
        <v>20</v>
      </c>
      <c r="G57" s="3" t="s">
        <v>21</v>
      </c>
      <c r="H57" s="3" t="s">
        <v>195</v>
      </c>
      <c r="I57" s="3"/>
      <c r="J57" s="4" t="s">
        <v>23</v>
      </c>
      <c r="K57" s="4"/>
      <c r="L57" s="4"/>
      <c r="M57" s="4"/>
      <c r="N57" s="4"/>
      <c r="O57" s="5"/>
    </row>
    <row r="58" customFormat="false" ht="27.75" hidden="false" customHeight="true" outlineLevel="0" collapsed="false">
      <c r="A58" s="2" t="s">
        <v>119</v>
      </c>
      <c r="B58" s="3" t="s">
        <v>180</v>
      </c>
      <c r="C58" s="2" t="s">
        <v>181</v>
      </c>
      <c r="D58" s="3" t="s">
        <v>196</v>
      </c>
      <c r="E58" s="2" t="s">
        <v>197</v>
      </c>
      <c r="F58" s="3" t="s">
        <v>20</v>
      </c>
      <c r="G58" s="3"/>
      <c r="H58" s="3" t="s">
        <v>198</v>
      </c>
      <c r="I58" s="3"/>
      <c r="J58" s="4" t="s">
        <v>23</v>
      </c>
      <c r="K58" s="4"/>
      <c r="L58" s="4"/>
      <c r="M58" s="4"/>
      <c r="N58" s="4"/>
      <c r="O58" s="5"/>
    </row>
    <row r="59" customFormat="false" ht="27.75" hidden="false" customHeight="true" outlineLevel="0" collapsed="false">
      <c r="A59" s="2" t="s">
        <v>119</v>
      </c>
      <c r="B59" s="3" t="s">
        <v>199</v>
      </c>
      <c r="C59" s="2" t="s">
        <v>200</v>
      </c>
      <c r="D59" s="3" t="s">
        <v>201</v>
      </c>
      <c r="E59" s="2" t="s">
        <v>202</v>
      </c>
      <c r="F59" s="3" t="s">
        <v>81</v>
      </c>
      <c r="G59" s="3"/>
      <c r="H59" s="3"/>
      <c r="I59" s="3"/>
      <c r="J59" s="4" t="s">
        <v>23</v>
      </c>
      <c r="K59" s="4"/>
      <c r="L59" s="4"/>
      <c r="M59" s="4"/>
      <c r="N59" s="4"/>
      <c r="O59" s="5"/>
    </row>
    <row r="60" customFormat="false" ht="27.75" hidden="false" customHeight="true" outlineLevel="0" collapsed="false">
      <c r="A60" s="2" t="s">
        <v>119</v>
      </c>
      <c r="B60" s="3" t="s">
        <v>199</v>
      </c>
      <c r="C60" s="2" t="s">
        <v>200</v>
      </c>
      <c r="D60" s="3" t="s">
        <v>203</v>
      </c>
      <c r="E60" s="2" t="s">
        <v>204</v>
      </c>
      <c r="F60" s="3" t="s">
        <v>20</v>
      </c>
      <c r="G60" s="3" t="s">
        <v>39</v>
      </c>
      <c r="H60" s="3" t="s">
        <v>205</v>
      </c>
      <c r="I60" s="3"/>
      <c r="J60" s="4" t="s">
        <v>23</v>
      </c>
      <c r="K60" s="4"/>
      <c r="L60" s="4"/>
      <c r="M60" s="4"/>
      <c r="N60" s="4"/>
      <c r="O60" s="5"/>
    </row>
    <row r="61" customFormat="false" ht="27.75" hidden="false" customHeight="true" outlineLevel="0" collapsed="false">
      <c r="A61" s="2" t="s">
        <v>119</v>
      </c>
      <c r="B61" s="3" t="s">
        <v>199</v>
      </c>
      <c r="C61" s="2" t="s">
        <v>200</v>
      </c>
      <c r="D61" s="3" t="s">
        <v>206</v>
      </c>
      <c r="E61" s="2" t="s">
        <v>207</v>
      </c>
      <c r="F61" s="3" t="s">
        <v>81</v>
      </c>
      <c r="G61" s="3"/>
      <c r="H61" s="3"/>
      <c r="I61" s="3"/>
      <c r="J61" s="4" t="s">
        <v>23</v>
      </c>
      <c r="K61" s="4"/>
      <c r="L61" s="4"/>
      <c r="M61" s="4"/>
      <c r="N61" s="4"/>
      <c r="O61" s="5"/>
    </row>
    <row r="62" customFormat="false" ht="27.75" hidden="false" customHeight="true" outlineLevel="0" collapsed="false">
      <c r="A62" s="2" t="s">
        <v>119</v>
      </c>
      <c r="B62" s="3" t="s">
        <v>199</v>
      </c>
      <c r="C62" s="2" t="s">
        <v>200</v>
      </c>
      <c r="D62" s="3" t="s">
        <v>208</v>
      </c>
      <c r="E62" s="2" t="s">
        <v>209</v>
      </c>
      <c r="F62" s="3" t="s">
        <v>81</v>
      </c>
      <c r="G62" s="3"/>
      <c r="H62" s="3"/>
      <c r="I62" s="3"/>
      <c r="J62" s="4" t="s">
        <v>23</v>
      </c>
      <c r="K62" s="4"/>
      <c r="L62" s="4"/>
      <c r="M62" s="4"/>
      <c r="N62" s="4"/>
      <c r="O62" s="5"/>
    </row>
    <row r="63" customFormat="false" ht="27.75" hidden="false" customHeight="true" outlineLevel="0" collapsed="false">
      <c r="A63" s="2" t="s">
        <v>119</v>
      </c>
      <c r="B63" s="3" t="s">
        <v>199</v>
      </c>
      <c r="C63" s="2" t="s">
        <v>200</v>
      </c>
      <c r="D63" s="3" t="s">
        <v>210</v>
      </c>
      <c r="E63" s="2" t="s">
        <v>211</v>
      </c>
      <c r="F63" s="3" t="s">
        <v>81</v>
      </c>
      <c r="G63" s="3"/>
      <c r="H63" s="3"/>
      <c r="I63" s="3"/>
      <c r="J63" s="4" t="s">
        <v>23</v>
      </c>
      <c r="K63" s="4"/>
      <c r="L63" s="4"/>
      <c r="M63" s="4"/>
      <c r="N63" s="4"/>
      <c r="O63" s="5"/>
    </row>
    <row r="64" customFormat="false" ht="27.75" hidden="false" customHeight="true" outlineLevel="0" collapsed="false">
      <c r="A64" s="2" t="s">
        <v>119</v>
      </c>
      <c r="B64" s="3" t="s">
        <v>199</v>
      </c>
      <c r="C64" s="2" t="s">
        <v>200</v>
      </c>
      <c r="D64" s="3" t="s">
        <v>212</v>
      </c>
      <c r="E64" s="2" t="s">
        <v>213</v>
      </c>
      <c r="F64" s="3" t="s">
        <v>81</v>
      </c>
      <c r="G64" s="3"/>
      <c r="H64" s="3"/>
      <c r="I64" s="3"/>
      <c r="J64" s="4" t="s">
        <v>23</v>
      </c>
      <c r="K64" s="4"/>
      <c r="L64" s="4"/>
      <c r="M64" s="4"/>
      <c r="N64" s="4"/>
      <c r="O64" s="5"/>
    </row>
    <row r="65" customFormat="false" ht="27.75" hidden="false" customHeight="true" outlineLevel="0" collapsed="false">
      <c r="A65" s="2" t="s">
        <v>214</v>
      </c>
      <c r="B65" s="3" t="s">
        <v>215</v>
      </c>
      <c r="C65" s="2" t="s">
        <v>216</v>
      </c>
      <c r="D65" s="3" t="s">
        <v>217</v>
      </c>
      <c r="E65" s="2" t="s">
        <v>218</v>
      </c>
      <c r="F65" s="3" t="s">
        <v>81</v>
      </c>
      <c r="G65" s="3"/>
      <c r="H65" s="3"/>
      <c r="I65" s="3"/>
      <c r="J65" s="4" t="s">
        <v>23</v>
      </c>
      <c r="K65" s="4"/>
      <c r="L65" s="4"/>
      <c r="M65" s="4"/>
      <c r="N65" s="4"/>
      <c r="O65" s="5"/>
    </row>
    <row r="66" customFormat="false" ht="27.75" hidden="false" customHeight="true" outlineLevel="0" collapsed="false">
      <c r="A66" s="2" t="s">
        <v>214</v>
      </c>
      <c r="B66" s="3" t="s">
        <v>215</v>
      </c>
      <c r="C66" s="2" t="s">
        <v>216</v>
      </c>
      <c r="D66" s="3" t="s">
        <v>219</v>
      </c>
      <c r="E66" s="2" t="s">
        <v>220</v>
      </c>
      <c r="F66" s="3" t="s">
        <v>20</v>
      </c>
      <c r="G66" s="3" t="s">
        <v>21</v>
      </c>
      <c r="H66" s="3" t="s">
        <v>221</v>
      </c>
      <c r="I66" s="3"/>
      <c r="J66" s="4" t="s">
        <v>23</v>
      </c>
      <c r="K66" s="4"/>
      <c r="L66" s="4"/>
      <c r="M66" s="4"/>
      <c r="N66" s="4"/>
      <c r="O66" s="5"/>
    </row>
    <row r="67" customFormat="false" ht="27.75" hidden="false" customHeight="true" outlineLevel="0" collapsed="false">
      <c r="A67" s="2" t="s">
        <v>214</v>
      </c>
      <c r="B67" s="3" t="s">
        <v>215</v>
      </c>
      <c r="C67" s="2" t="s">
        <v>216</v>
      </c>
      <c r="D67" s="3" t="s">
        <v>222</v>
      </c>
      <c r="E67" s="2" t="s">
        <v>223</v>
      </c>
      <c r="F67" s="3" t="s">
        <v>35</v>
      </c>
      <c r="G67" s="3" t="s">
        <v>21</v>
      </c>
      <c r="H67" s="3" t="s">
        <v>224</v>
      </c>
      <c r="I67" s="3"/>
      <c r="J67" s="4" t="s">
        <v>23</v>
      </c>
      <c r="K67" s="4"/>
      <c r="L67" s="4"/>
      <c r="M67" s="4"/>
      <c r="N67" s="4"/>
      <c r="O67" s="5"/>
    </row>
    <row r="68" customFormat="false" ht="27.75" hidden="false" customHeight="true" outlineLevel="0" collapsed="false">
      <c r="A68" s="2" t="s">
        <v>214</v>
      </c>
      <c r="B68" s="3" t="s">
        <v>215</v>
      </c>
      <c r="C68" s="2" t="s">
        <v>216</v>
      </c>
      <c r="D68" s="3" t="s">
        <v>225</v>
      </c>
      <c r="E68" s="2" t="s">
        <v>226</v>
      </c>
      <c r="F68" s="3" t="s">
        <v>81</v>
      </c>
      <c r="G68" s="3"/>
      <c r="H68" s="3"/>
      <c r="I68" s="3"/>
      <c r="J68" s="4" t="s">
        <v>23</v>
      </c>
      <c r="K68" s="4"/>
      <c r="L68" s="4"/>
      <c r="M68" s="4"/>
      <c r="N68" s="4"/>
      <c r="O68" s="5"/>
    </row>
    <row r="69" customFormat="false" ht="27.75" hidden="false" customHeight="true" outlineLevel="0" collapsed="false">
      <c r="A69" s="2" t="s">
        <v>214</v>
      </c>
      <c r="B69" s="3" t="s">
        <v>215</v>
      </c>
      <c r="C69" s="2" t="s">
        <v>216</v>
      </c>
      <c r="D69" s="3" t="s">
        <v>227</v>
      </c>
      <c r="E69" s="2" t="s">
        <v>228</v>
      </c>
      <c r="F69" s="3" t="s">
        <v>81</v>
      </c>
      <c r="G69" s="3"/>
      <c r="H69" s="3"/>
      <c r="I69" s="3"/>
      <c r="J69" s="4" t="s">
        <v>23</v>
      </c>
      <c r="K69" s="4"/>
      <c r="L69" s="4"/>
      <c r="M69" s="4"/>
      <c r="N69" s="4"/>
      <c r="O69" s="5"/>
    </row>
    <row r="70" customFormat="false" ht="27.75" hidden="false" customHeight="true" outlineLevel="0" collapsed="false">
      <c r="A70" s="2" t="s">
        <v>214</v>
      </c>
      <c r="B70" s="3" t="s">
        <v>215</v>
      </c>
      <c r="C70" s="2" t="s">
        <v>216</v>
      </c>
      <c r="D70" s="3" t="s">
        <v>229</v>
      </c>
      <c r="E70" s="2" t="s">
        <v>230</v>
      </c>
      <c r="F70" s="3" t="s">
        <v>20</v>
      </c>
      <c r="G70" s="3" t="s">
        <v>39</v>
      </c>
      <c r="H70" s="3" t="s">
        <v>231</v>
      </c>
      <c r="I70" s="3"/>
      <c r="J70" s="4" t="s">
        <v>23</v>
      </c>
      <c r="K70" s="4"/>
      <c r="L70" s="4"/>
      <c r="M70" s="4"/>
      <c r="N70" s="4"/>
      <c r="O70" s="5"/>
    </row>
    <row r="71" customFormat="false" ht="27.75" hidden="false" customHeight="true" outlineLevel="0" collapsed="false">
      <c r="A71" s="2" t="s">
        <v>214</v>
      </c>
      <c r="B71" s="3" t="s">
        <v>215</v>
      </c>
      <c r="C71" s="2" t="s">
        <v>216</v>
      </c>
      <c r="D71" s="3" t="s">
        <v>232</v>
      </c>
      <c r="E71" s="2" t="s">
        <v>233</v>
      </c>
      <c r="F71" s="3" t="s">
        <v>81</v>
      </c>
      <c r="G71" s="3"/>
      <c r="H71" s="3"/>
      <c r="I71" s="3"/>
      <c r="J71" s="4" t="s">
        <v>23</v>
      </c>
      <c r="K71" s="4"/>
      <c r="L71" s="4"/>
      <c r="M71" s="4"/>
      <c r="N71" s="4"/>
      <c r="O71" s="5"/>
    </row>
    <row r="72" customFormat="false" ht="27.75" hidden="false" customHeight="true" outlineLevel="0" collapsed="false">
      <c r="A72" s="2" t="s">
        <v>214</v>
      </c>
      <c r="B72" s="3" t="s">
        <v>234</v>
      </c>
      <c r="C72" s="2" t="s">
        <v>235</v>
      </c>
      <c r="D72" s="3" t="s">
        <v>236</v>
      </c>
      <c r="E72" s="2" t="s">
        <v>237</v>
      </c>
      <c r="F72" s="3" t="s">
        <v>35</v>
      </c>
      <c r="G72" s="3" t="s">
        <v>21</v>
      </c>
      <c r="H72" s="3" t="s">
        <v>238</v>
      </c>
      <c r="I72" s="3"/>
      <c r="J72" s="4" t="s">
        <v>23</v>
      </c>
      <c r="K72" s="4"/>
      <c r="L72" s="4"/>
      <c r="M72" s="4"/>
      <c r="N72" s="4"/>
      <c r="O72" s="5"/>
    </row>
    <row r="73" customFormat="false" ht="27.75" hidden="false" customHeight="true" outlineLevel="0" collapsed="false">
      <c r="A73" s="2" t="s">
        <v>214</v>
      </c>
      <c r="B73" s="3" t="s">
        <v>234</v>
      </c>
      <c r="C73" s="2" t="s">
        <v>235</v>
      </c>
      <c r="D73" s="3" t="s">
        <v>239</v>
      </c>
      <c r="E73" s="2" t="s">
        <v>240</v>
      </c>
      <c r="F73" s="3" t="s">
        <v>20</v>
      </c>
      <c r="G73" s="3" t="s">
        <v>21</v>
      </c>
      <c r="H73" s="3" t="s">
        <v>241</v>
      </c>
      <c r="I73" s="3"/>
      <c r="J73" s="4" t="s">
        <v>23</v>
      </c>
      <c r="K73" s="4"/>
      <c r="L73" s="4"/>
      <c r="M73" s="4"/>
      <c r="N73" s="4"/>
      <c r="O73" s="5"/>
    </row>
    <row r="74" customFormat="false" ht="27.75" hidden="false" customHeight="true" outlineLevel="0" collapsed="false">
      <c r="A74" s="2" t="s">
        <v>214</v>
      </c>
      <c r="B74" s="3" t="s">
        <v>234</v>
      </c>
      <c r="C74" s="2" t="s">
        <v>235</v>
      </c>
      <c r="D74" s="3" t="s">
        <v>242</v>
      </c>
      <c r="E74" s="2" t="s">
        <v>243</v>
      </c>
      <c r="F74" s="3" t="s">
        <v>20</v>
      </c>
      <c r="G74" s="3"/>
      <c r="H74" s="3" t="s">
        <v>244</v>
      </c>
      <c r="I74" s="3" t="s">
        <v>116</v>
      </c>
      <c r="J74" s="4" t="s">
        <v>23</v>
      </c>
      <c r="K74" s="4"/>
      <c r="L74" s="4"/>
      <c r="M74" s="4"/>
      <c r="N74" s="4"/>
      <c r="O74" s="5"/>
    </row>
    <row r="75" customFormat="false" ht="27.75" hidden="false" customHeight="true" outlineLevel="0" collapsed="false">
      <c r="A75" s="2" t="s">
        <v>214</v>
      </c>
      <c r="B75" s="3" t="s">
        <v>234</v>
      </c>
      <c r="C75" s="2" t="s">
        <v>235</v>
      </c>
      <c r="D75" s="3" t="s">
        <v>245</v>
      </c>
      <c r="E75" s="2" t="s">
        <v>246</v>
      </c>
      <c r="F75" s="3" t="s">
        <v>35</v>
      </c>
      <c r="G75" s="3" t="s">
        <v>39</v>
      </c>
      <c r="H75" s="3" t="s">
        <v>247</v>
      </c>
      <c r="I75" s="3" t="s">
        <v>116</v>
      </c>
      <c r="J75" s="4" t="s">
        <v>23</v>
      </c>
      <c r="K75" s="4"/>
      <c r="L75" s="4"/>
      <c r="M75" s="4"/>
      <c r="N75" s="4"/>
      <c r="O75" s="5"/>
    </row>
    <row r="76" customFormat="false" ht="27.75" hidden="false" customHeight="true" outlineLevel="0" collapsed="false">
      <c r="A76" s="2" t="s">
        <v>214</v>
      </c>
      <c r="B76" s="3" t="s">
        <v>234</v>
      </c>
      <c r="C76" s="2" t="s">
        <v>235</v>
      </c>
      <c r="D76" s="3" t="s">
        <v>248</v>
      </c>
      <c r="E76" s="2" t="s">
        <v>249</v>
      </c>
      <c r="F76" s="3" t="s">
        <v>35</v>
      </c>
      <c r="G76" s="3" t="s">
        <v>21</v>
      </c>
      <c r="H76" s="3" t="s">
        <v>250</v>
      </c>
      <c r="I76" s="3"/>
      <c r="J76" s="4" t="s">
        <v>23</v>
      </c>
      <c r="K76" s="4"/>
      <c r="L76" s="4"/>
      <c r="M76" s="4"/>
      <c r="N76" s="4"/>
      <c r="O76" s="5"/>
    </row>
    <row r="77" customFormat="false" ht="27.75" hidden="false" customHeight="true" outlineLevel="0" collapsed="false">
      <c r="A77" s="2" t="s">
        <v>214</v>
      </c>
      <c r="B77" s="3" t="s">
        <v>234</v>
      </c>
      <c r="C77" s="2" t="s">
        <v>235</v>
      </c>
      <c r="D77" s="3" t="s">
        <v>251</v>
      </c>
      <c r="E77" s="2" t="s">
        <v>252</v>
      </c>
      <c r="F77" s="3" t="s">
        <v>20</v>
      </c>
      <c r="G77" s="3"/>
      <c r="H77" s="3" t="s">
        <v>253</v>
      </c>
      <c r="I77" s="3"/>
      <c r="J77" s="4" t="s">
        <v>23</v>
      </c>
      <c r="K77" s="4"/>
      <c r="L77" s="4"/>
      <c r="M77" s="4"/>
      <c r="N77" s="4"/>
      <c r="O77" s="5"/>
    </row>
    <row r="78" customFormat="false" ht="27.75" hidden="false" customHeight="true" outlineLevel="0" collapsed="false">
      <c r="A78" s="2" t="s">
        <v>214</v>
      </c>
      <c r="B78" s="3" t="s">
        <v>234</v>
      </c>
      <c r="C78" s="2" t="s">
        <v>235</v>
      </c>
      <c r="D78" s="3" t="s">
        <v>254</v>
      </c>
      <c r="E78" s="2" t="s">
        <v>255</v>
      </c>
      <c r="F78" s="3" t="s">
        <v>81</v>
      </c>
      <c r="G78" s="3"/>
      <c r="H78" s="3"/>
      <c r="I78" s="3"/>
      <c r="J78" s="4" t="s">
        <v>23</v>
      </c>
      <c r="K78" s="4"/>
      <c r="L78" s="4"/>
      <c r="M78" s="4"/>
      <c r="N78" s="4"/>
      <c r="O78" s="5"/>
    </row>
    <row r="79" customFormat="false" ht="27.75" hidden="false" customHeight="true" outlineLevel="0" collapsed="false">
      <c r="A79" s="2" t="s">
        <v>214</v>
      </c>
      <c r="B79" s="3" t="s">
        <v>234</v>
      </c>
      <c r="C79" s="2" t="s">
        <v>235</v>
      </c>
      <c r="D79" s="3" t="s">
        <v>256</v>
      </c>
      <c r="E79" s="2" t="s">
        <v>257</v>
      </c>
      <c r="F79" s="3" t="s">
        <v>20</v>
      </c>
      <c r="G79" s="3" t="s">
        <v>21</v>
      </c>
      <c r="H79" s="3" t="s">
        <v>258</v>
      </c>
      <c r="I79" s="3"/>
      <c r="J79" s="4" t="s">
        <v>23</v>
      </c>
      <c r="K79" s="4"/>
      <c r="L79" s="4"/>
      <c r="M79" s="4"/>
      <c r="N79" s="4"/>
      <c r="O79" s="5"/>
    </row>
    <row r="80" customFormat="false" ht="27.75" hidden="false" customHeight="true" outlineLevel="0" collapsed="false">
      <c r="A80" s="2" t="s">
        <v>214</v>
      </c>
      <c r="B80" s="3" t="s">
        <v>234</v>
      </c>
      <c r="C80" s="2" t="s">
        <v>235</v>
      </c>
      <c r="D80" s="3" t="s">
        <v>259</v>
      </c>
      <c r="E80" s="2" t="s">
        <v>260</v>
      </c>
      <c r="F80" s="3" t="s">
        <v>35</v>
      </c>
      <c r="G80" s="3" t="s">
        <v>21</v>
      </c>
      <c r="H80" s="3" t="s">
        <v>261</v>
      </c>
      <c r="I80" s="3"/>
      <c r="J80" s="4" t="s">
        <v>23</v>
      </c>
      <c r="K80" s="4"/>
      <c r="L80" s="4"/>
      <c r="M80" s="4"/>
      <c r="N80" s="4"/>
      <c r="O80" s="5"/>
    </row>
    <row r="81" customFormat="false" ht="27.75" hidden="false" customHeight="true" outlineLevel="0" collapsed="false">
      <c r="A81" s="2" t="s">
        <v>214</v>
      </c>
      <c r="B81" s="3" t="s">
        <v>262</v>
      </c>
      <c r="C81" s="2" t="s">
        <v>263</v>
      </c>
      <c r="D81" s="3" t="s">
        <v>264</v>
      </c>
      <c r="E81" s="2" t="s">
        <v>265</v>
      </c>
      <c r="F81" s="3" t="s">
        <v>43</v>
      </c>
      <c r="G81" s="3"/>
      <c r="H81" s="3"/>
      <c r="I81" s="3"/>
      <c r="J81" s="4" t="s">
        <v>23</v>
      </c>
      <c r="K81" s="4"/>
      <c r="L81" s="4"/>
      <c r="M81" s="4"/>
      <c r="N81" s="4"/>
      <c r="O81" s="5"/>
    </row>
    <row r="82" customFormat="false" ht="27.75" hidden="false" customHeight="true" outlineLevel="0" collapsed="false">
      <c r="A82" s="2" t="s">
        <v>214</v>
      </c>
      <c r="B82" s="3" t="s">
        <v>262</v>
      </c>
      <c r="C82" s="2" t="s">
        <v>263</v>
      </c>
      <c r="D82" s="3" t="s">
        <v>266</v>
      </c>
      <c r="E82" s="2" t="s">
        <v>267</v>
      </c>
      <c r="F82" s="3" t="s">
        <v>43</v>
      </c>
      <c r="G82" s="3"/>
      <c r="H82" s="3"/>
      <c r="I82" s="3"/>
      <c r="J82" s="4" t="s">
        <v>23</v>
      </c>
      <c r="K82" s="4"/>
      <c r="L82" s="4"/>
      <c r="M82" s="4"/>
      <c r="N82" s="4"/>
      <c r="O82" s="5"/>
    </row>
    <row r="83" customFormat="false" ht="27.75" hidden="false" customHeight="true" outlineLevel="0" collapsed="false">
      <c r="A83" s="2" t="s">
        <v>214</v>
      </c>
      <c r="B83" s="3" t="s">
        <v>262</v>
      </c>
      <c r="C83" s="2" t="s">
        <v>263</v>
      </c>
      <c r="D83" s="3" t="s">
        <v>268</v>
      </c>
      <c r="E83" s="2" t="s">
        <v>269</v>
      </c>
      <c r="F83" s="3" t="s">
        <v>20</v>
      </c>
      <c r="G83" s="3" t="s">
        <v>39</v>
      </c>
      <c r="H83" s="3" t="s">
        <v>270</v>
      </c>
      <c r="I83" s="3"/>
      <c r="J83" s="4" t="s">
        <v>23</v>
      </c>
      <c r="K83" s="4"/>
      <c r="L83" s="4"/>
      <c r="M83" s="4"/>
      <c r="N83" s="4"/>
      <c r="O83" s="5"/>
    </row>
    <row r="84" customFormat="false" ht="27.75" hidden="false" customHeight="true" outlineLevel="0" collapsed="false">
      <c r="A84" s="2" t="s">
        <v>214</v>
      </c>
      <c r="B84" s="3" t="s">
        <v>262</v>
      </c>
      <c r="C84" s="2" t="s">
        <v>263</v>
      </c>
      <c r="D84" s="3" t="s">
        <v>271</v>
      </c>
      <c r="E84" s="2" t="s">
        <v>272</v>
      </c>
      <c r="F84" s="3" t="s">
        <v>43</v>
      </c>
      <c r="G84" s="3"/>
      <c r="H84" s="3"/>
      <c r="I84" s="3"/>
      <c r="J84" s="4" t="s">
        <v>23</v>
      </c>
      <c r="K84" s="4"/>
      <c r="L84" s="4"/>
      <c r="M84" s="4"/>
      <c r="N84" s="4"/>
      <c r="O84" s="5"/>
    </row>
    <row r="85" customFormat="false" ht="27.75" hidden="false" customHeight="true" outlineLevel="0" collapsed="false">
      <c r="A85" s="2" t="s">
        <v>214</v>
      </c>
      <c r="B85" s="3" t="s">
        <v>273</v>
      </c>
      <c r="C85" s="2" t="s">
        <v>274</v>
      </c>
      <c r="D85" s="3" t="s">
        <v>275</v>
      </c>
      <c r="E85" s="2" t="s">
        <v>276</v>
      </c>
      <c r="F85" s="3" t="s">
        <v>35</v>
      </c>
      <c r="G85" s="3" t="s">
        <v>21</v>
      </c>
      <c r="H85" s="3" t="s">
        <v>277</v>
      </c>
      <c r="I85" s="3"/>
      <c r="J85" s="4" t="s">
        <v>23</v>
      </c>
      <c r="K85" s="4"/>
      <c r="L85" s="4"/>
      <c r="M85" s="4"/>
      <c r="N85" s="4"/>
      <c r="O85" s="5"/>
    </row>
    <row r="86" customFormat="false" ht="27.75" hidden="false" customHeight="true" outlineLevel="0" collapsed="false">
      <c r="A86" s="2" t="s">
        <v>214</v>
      </c>
      <c r="B86" s="3" t="s">
        <v>273</v>
      </c>
      <c r="C86" s="2" t="s">
        <v>274</v>
      </c>
      <c r="D86" s="3" t="s">
        <v>278</v>
      </c>
      <c r="E86" s="2" t="s">
        <v>279</v>
      </c>
      <c r="F86" s="3" t="s">
        <v>35</v>
      </c>
      <c r="G86" s="3" t="s">
        <v>21</v>
      </c>
      <c r="H86" s="3" t="s">
        <v>280</v>
      </c>
      <c r="I86" s="3"/>
      <c r="J86" s="4" t="s">
        <v>23</v>
      </c>
      <c r="K86" s="4"/>
      <c r="L86" s="4"/>
      <c r="M86" s="4"/>
      <c r="N86" s="4"/>
      <c r="O86" s="5"/>
    </row>
    <row r="87" customFormat="false" ht="27.75" hidden="false" customHeight="true" outlineLevel="0" collapsed="false">
      <c r="A87" s="2" t="s">
        <v>214</v>
      </c>
      <c r="B87" s="3" t="s">
        <v>273</v>
      </c>
      <c r="C87" s="2" t="s">
        <v>274</v>
      </c>
      <c r="D87" s="3" t="s">
        <v>281</v>
      </c>
      <c r="E87" s="2" t="s">
        <v>282</v>
      </c>
      <c r="F87" s="3" t="s">
        <v>20</v>
      </c>
      <c r="G87" s="3" t="s">
        <v>39</v>
      </c>
      <c r="H87" s="3" t="s">
        <v>283</v>
      </c>
      <c r="I87" s="3"/>
      <c r="J87" s="4" t="s">
        <v>23</v>
      </c>
      <c r="K87" s="4"/>
      <c r="L87" s="4"/>
      <c r="M87" s="4"/>
      <c r="N87" s="4"/>
      <c r="O87" s="5"/>
    </row>
    <row r="88" customFormat="false" ht="27.75" hidden="false" customHeight="true" outlineLevel="0" collapsed="false">
      <c r="A88" s="2" t="s">
        <v>214</v>
      </c>
      <c r="B88" s="3" t="s">
        <v>273</v>
      </c>
      <c r="C88" s="2" t="s">
        <v>274</v>
      </c>
      <c r="D88" s="3" t="s">
        <v>284</v>
      </c>
      <c r="E88" s="2" t="s">
        <v>285</v>
      </c>
      <c r="F88" s="3" t="s">
        <v>20</v>
      </c>
      <c r="G88" s="3" t="s">
        <v>39</v>
      </c>
      <c r="H88" s="3" t="s">
        <v>286</v>
      </c>
      <c r="I88" s="3"/>
      <c r="J88" s="4" t="s">
        <v>23</v>
      </c>
      <c r="K88" s="4"/>
      <c r="L88" s="4"/>
      <c r="M88" s="4"/>
      <c r="N88" s="4"/>
      <c r="O88" s="5"/>
    </row>
    <row r="89" customFormat="false" ht="27.75" hidden="false" customHeight="true" outlineLevel="0" collapsed="false">
      <c r="A89" s="2" t="s">
        <v>214</v>
      </c>
      <c r="B89" s="3" t="s">
        <v>273</v>
      </c>
      <c r="C89" s="2" t="s">
        <v>274</v>
      </c>
      <c r="D89" s="3" t="s">
        <v>287</v>
      </c>
      <c r="E89" s="2" t="s">
        <v>288</v>
      </c>
      <c r="F89" s="3" t="s">
        <v>35</v>
      </c>
      <c r="G89" s="3" t="s">
        <v>21</v>
      </c>
      <c r="H89" s="3" t="s">
        <v>289</v>
      </c>
      <c r="I89" s="3"/>
      <c r="J89" s="4" t="s">
        <v>23</v>
      </c>
      <c r="K89" s="4"/>
      <c r="L89" s="4"/>
      <c r="M89" s="4"/>
      <c r="N89" s="4"/>
      <c r="O89" s="5"/>
    </row>
    <row r="90" customFormat="false" ht="27.75" hidden="false" customHeight="true" outlineLevel="0" collapsed="false">
      <c r="A90" s="2" t="s">
        <v>214</v>
      </c>
      <c r="B90" s="3" t="s">
        <v>273</v>
      </c>
      <c r="C90" s="2" t="s">
        <v>274</v>
      </c>
      <c r="D90" s="3" t="s">
        <v>290</v>
      </c>
      <c r="E90" s="2" t="s">
        <v>291</v>
      </c>
      <c r="F90" s="3" t="s">
        <v>20</v>
      </c>
      <c r="G90" s="3" t="s">
        <v>21</v>
      </c>
      <c r="H90" s="3" t="s">
        <v>292</v>
      </c>
      <c r="I90" s="3"/>
      <c r="J90" s="4" t="s">
        <v>23</v>
      </c>
      <c r="K90" s="4"/>
      <c r="L90" s="4"/>
      <c r="M90" s="4"/>
      <c r="N90" s="4"/>
      <c r="O90" s="5"/>
    </row>
    <row r="91" customFormat="false" ht="27.75" hidden="false" customHeight="true" outlineLevel="0" collapsed="false">
      <c r="A91" s="2" t="s">
        <v>214</v>
      </c>
      <c r="B91" s="3" t="s">
        <v>273</v>
      </c>
      <c r="C91" s="2" t="s">
        <v>274</v>
      </c>
      <c r="D91" s="3" t="s">
        <v>293</v>
      </c>
      <c r="E91" s="2" t="s">
        <v>294</v>
      </c>
      <c r="F91" s="3" t="s">
        <v>35</v>
      </c>
      <c r="G91" s="3" t="s">
        <v>21</v>
      </c>
      <c r="H91" s="3" t="s">
        <v>295</v>
      </c>
      <c r="I91" s="3" t="s">
        <v>116</v>
      </c>
      <c r="J91" s="4" t="s">
        <v>23</v>
      </c>
      <c r="K91" s="4"/>
      <c r="L91" s="4"/>
      <c r="M91" s="4"/>
      <c r="N91" s="4"/>
      <c r="O91" s="5"/>
    </row>
    <row r="92" customFormat="false" ht="27.75" hidden="false" customHeight="true" outlineLevel="0" collapsed="false">
      <c r="A92" s="2" t="s">
        <v>214</v>
      </c>
      <c r="B92" s="3" t="s">
        <v>273</v>
      </c>
      <c r="C92" s="2" t="s">
        <v>274</v>
      </c>
      <c r="D92" s="3" t="s">
        <v>296</v>
      </c>
      <c r="E92" s="2" t="s">
        <v>297</v>
      </c>
      <c r="F92" s="3" t="s">
        <v>20</v>
      </c>
      <c r="G92" s="3"/>
      <c r="H92" s="3" t="s">
        <v>298</v>
      </c>
      <c r="I92" s="3" t="s">
        <v>116</v>
      </c>
      <c r="J92" s="4" t="s">
        <v>23</v>
      </c>
      <c r="K92" s="4"/>
      <c r="L92" s="4"/>
      <c r="M92" s="4"/>
      <c r="N92" s="4"/>
      <c r="O92" s="5"/>
    </row>
    <row r="93" customFormat="false" ht="27.75" hidden="false" customHeight="true" outlineLevel="0" collapsed="false">
      <c r="A93" s="2" t="s">
        <v>214</v>
      </c>
      <c r="B93" s="3" t="s">
        <v>273</v>
      </c>
      <c r="C93" s="2" t="s">
        <v>274</v>
      </c>
      <c r="D93" s="3" t="s">
        <v>299</v>
      </c>
      <c r="E93" s="2" t="s">
        <v>300</v>
      </c>
      <c r="F93" s="3" t="s">
        <v>20</v>
      </c>
      <c r="G93" s="3" t="s">
        <v>39</v>
      </c>
      <c r="H93" s="3" t="s">
        <v>301</v>
      </c>
      <c r="I93" s="3"/>
      <c r="J93" s="4" t="s">
        <v>23</v>
      </c>
      <c r="K93" s="4"/>
      <c r="L93" s="4"/>
      <c r="M93" s="4"/>
      <c r="N93" s="4"/>
      <c r="O93" s="5"/>
    </row>
    <row r="94" customFormat="false" ht="27.75" hidden="false" customHeight="true" outlineLevel="0" collapsed="false">
      <c r="A94" s="2" t="s">
        <v>214</v>
      </c>
      <c r="B94" s="3" t="s">
        <v>273</v>
      </c>
      <c r="C94" s="2" t="s">
        <v>274</v>
      </c>
      <c r="D94" s="3" t="s">
        <v>302</v>
      </c>
      <c r="E94" s="2" t="s">
        <v>303</v>
      </c>
      <c r="F94" s="3" t="s">
        <v>35</v>
      </c>
      <c r="G94" s="3" t="s">
        <v>39</v>
      </c>
      <c r="H94" s="3" t="s">
        <v>304</v>
      </c>
      <c r="I94" s="3"/>
      <c r="J94" s="4" t="s">
        <v>23</v>
      </c>
      <c r="K94" s="4"/>
      <c r="L94" s="4"/>
      <c r="M94" s="4"/>
      <c r="N94" s="4"/>
      <c r="O94" s="5"/>
    </row>
    <row r="95" customFormat="false" ht="27.75" hidden="false" customHeight="true" outlineLevel="0" collapsed="false">
      <c r="A95" s="2" t="s">
        <v>214</v>
      </c>
      <c r="B95" s="3" t="s">
        <v>305</v>
      </c>
      <c r="C95" s="2" t="s">
        <v>306</v>
      </c>
      <c r="D95" s="3" t="s">
        <v>307</v>
      </c>
      <c r="E95" s="2" t="s">
        <v>308</v>
      </c>
      <c r="F95" s="3" t="s">
        <v>20</v>
      </c>
      <c r="G95" s="3" t="s">
        <v>21</v>
      </c>
      <c r="H95" s="3" t="s">
        <v>309</v>
      </c>
      <c r="I95" s="3"/>
      <c r="J95" s="4" t="s">
        <v>23</v>
      </c>
      <c r="K95" s="4"/>
      <c r="L95" s="4"/>
      <c r="M95" s="4"/>
      <c r="N95" s="4"/>
      <c r="O95" s="5"/>
    </row>
    <row r="96" customFormat="false" ht="27.75" hidden="false" customHeight="true" outlineLevel="0" collapsed="false">
      <c r="A96" s="2" t="s">
        <v>214</v>
      </c>
      <c r="B96" s="3" t="s">
        <v>305</v>
      </c>
      <c r="C96" s="2" t="s">
        <v>306</v>
      </c>
      <c r="D96" s="3" t="s">
        <v>310</v>
      </c>
      <c r="E96" s="2" t="s">
        <v>311</v>
      </c>
      <c r="F96" s="3" t="s">
        <v>35</v>
      </c>
      <c r="G96" s="3" t="s">
        <v>21</v>
      </c>
      <c r="H96" s="3" t="s">
        <v>312</v>
      </c>
      <c r="I96" s="3" t="s">
        <v>116</v>
      </c>
      <c r="J96" s="4" t="s">
        <v>23</v>
      </c>
      <c r="K96" s="4"/>
      <c r="L96" s="4"/>
      <c r="M96" s="4"/>
      <c r="N96" s="4"/>
      <c r="O96" s="5"/>
    </row>
    <row r="97" customFormat="false" ht="27.75" hidden="false" customHeight="true" outlineLevel="0" collapsed="false">
      <c r="A97" s="2" t="s">
        <v>214</v>
      </c>
      <c r="B97" s="3" t="s">
        <v>305</v>
      </c>
      <c r="C97" s="2" t="s">
        <v>306</v>
      </c>
      <c r="D97" s="3" t="s">
        <v>313</v>
      </c>
      <c r="E97" s="2" t="s">
        <v>314</v>
      </c>
      <c r="F97" s="3" t="s">
        <v>35</v>
      </c>
      <c r="G97" s="3" t="s">
        <v>39</v>
      </c>
      <c r="H97" s="3" t="s">
        <v>315</v>
      </c>
      <c r="I97" s="3" t="s">
        <v>116</v>
      </c>
      <c r="J97" s="4" t="s">
        <v>23</v>
      </c>
      <c r="K97" s="4"/>
      <c r="L97" s="4"/>
      <c r="M97" s="4"/>
      <c r="N97" s="4"/>
      <c r="O97" s="5"/>
    </row>
    <row r="98" customFormat="false" ht="27.75" hidden="false" customHeight="true" outlineLevel="0" collapsed="false">
      <c r="A98" s="2" t="s">
        <v>214</v>
      </c>
      <c r="B98" s="3" t="s">
        <v>305</v>
      </c>
      <c r="C98" s="2" t="s">
        <v>306</v>
      </c>
      <c r="D98" s="3" t="s">
        <v>316</v>
      </c>
      <c r="E98" s="2" t="s">
        <v>317</v>
      </c>
      <c r="F98" s="3" t="s">
        <v>35</v>
      </c>
      <c r="G98" s="3" t="s">
        <v>21</v>
      </c>
      <c r="H98" s="3" t="s">
        <v>318</v>
      </c>
      <c r="I98" s="3" t="s">
        <v>116</v>
      </c>
      <c r="J98" s="4" t="s">
        <v>23</v>
      </c>
      <c r="K98" s="4"/>
      <c r="L98" s="4"/>
      <c r="M98" s="4"/>
      <c r="N98" s="4"/>
      <c r="O98" s="5"/>
    </row>
    <row r="99" customFormat="false" ht="27.75" hidden="false" customHeight="true" outlineLevel="0" collapsed="false">
      <c r="A99" s="2" t="s">
        <v>214</v>
      </c>
      <c r="B99" s="3" t="s">
        <v>305</v>
      </c>
      <c r="C99" s="2" t="s">
        <v>306</v>
      </c>
      <c r="D99" s="3" t="s">
        <v>319</v>
      </c>
      <c r="E99" s="2" t="s">
        <v>320</v>
      </c>
      <c r="F99" s="3" t="s">
        <v>35</v>
      </c>
      <c r="G99" s="3" t="s">
        <v>21</v>
      </c>
      <c r="H99" s="3" t="s">
        <v>321</v>
      </c>
      <c r="I99" s="3" t="s">
        <v>116</v>
      </c>
      <c r="J99" s="4" t="s">
        <v>23</v>
      </c>
      <c r="K99" s="4"/>
      <c r="L99" s="4"/>
      <c r="M99" s="4"/>
      <c r="N99" s="4"/>
      <c r="O99" s="5"/>
    </row>
    <row r="100" customFormat="false" ht="27.75" hidden="false" customHeight="true" outlineLevel="0" collapsed="false">
      <c r="A100" s="2" t="s">
        <v>214</v>
      </c>
      <c r="B100" s="3" t="s">
        <v>305</v>
      </c>
      <c r="C100" s="2" t="s">
        <v>306</v>
      </c>
      <c r="D100" s="3" t="s">
        <v>322</v>
      </c>
      <c r="E100" s="2" t="s">
        <v>323</v>
      </c>
      <c r="F100" s="3" t="s">
        <v>20</v>
      </c>
      <c r="G100" s="3" t="s">
        <v>21</v>
      </c>
      <c r="H100" s="3" t="s">
        <v>324</v>
      </c>
      <c r="I100" s="3"/>
      <c r="J100" s="4" t="s">
        <v>23</v>
      </c>
      <c r="K100" s="4"/>
      <c r="L100" s="4"/>
      <c r="M100" s="4"/>
      <c r="N100" s="4"/>
      <c r="O100" s="5"/>
    </row>
    <row r="101" customFormat="false" ht="27.75" hidden="false" customHeight="true" outlineLevel="0" collapsed="false">
      <c r="A101" s="2" t="s">
        <v>214</v>
      </c>
      <c r="B101" s="3" t="s">
        <v>305</v>
      </c>
      <c r="C101" s="2" t="s">
        <v>306</v>
      </c>
      <c r="D101" s="3" t="s">
        <v>325</v>
      </c>
      <c r="E101" s="2" t="s">
        <v>326</v>
      </c>
      <c r="F101" s="3" t="s">
        <v>20</v>
      </c>
      <c r="G101" s="3" t="s">
        <v>21</v>
      </c>
      <c r="H101" s="3" t="s">
        <v>327</v>
      </c>
      <c r="I101" s="3"/>
      <c r="J101" s="4" t="s">
        <v>23</v>
      </c>
      <c r="K101" s="4"/>
      <c r="L101" s="4"/>
      <c r="M101" s="4"/>
      <c r="N101" s="4"/>
      <c r="O101" s="5"/>
    </row>
    <row r="102" customFormat="false" ht="27.75" hidden="false" customHeight="true" outlineLevel="0" collapsed="false">
      <c r="A102" s="2" t="s">
        <v>214</v>
      </c>
      <c r="B102" s="3" t="s">
        <v>305</v>
      </c>
      <c r="C102" s="2" t="s">
        <v>306</v>
      </c>
      <c r="D102" s="3" t="s">
        <v>328</v>
      </c>
      <c r="E102" s="2" t="s">
        <v>329</v>
      </c>
      <c r="F102" s="3" t="s">
        <v>20</v>
      </c>
      <c r="G102" s="3" t="s">
        <v>39</v>
      </c>
      <c r="H102" s="3" t="s">
        <v>330</v>
      </c>
      <c r="I102" s="3"/>
      <c r="J102" s="4" t="s">
        <v>23</v>
      </c>
      <c r="K102" s="4"/>
      <c r="L102" s="4"/>
      <c r="M102" s="4"/>
      <c r="N102" s="4"/>
      <c r="O102" s="5"/>
    </row>
    <row r="103" customFormat="false" ht="27.75" hidden="false" customHeight="true" outlineLevel="0" collapsed="false">
      <c r="A103" s="2" t="s">
        <v>214</v>
      </c>
      <c r="B103" s="3" t="s">
        <v>305</v>
      </c>
      <c r="C103" s="2" t="s">
        <v>306</v>
      </c>
      <c r="D103" s="3" t="s">
        <v>331</v>
      </c>
      <c r="E103" s="2" t="s">
        <v>332</v>
      </c>
      <c r="F103" s="3" t="s">
        <v>20</v>
      </c>
      <c r="G103" s="3" t="s">
        <v>21</v>
      </c>
      <c r="H103" s="3" t="s">
        <v>333</v>
      </c>
      <c r="I103" s="3"/>
      <c r="J103" s="4" t="s">
        <v>23</v>
      </c>
      <c r="K103" s="4"/>
      <c r="L103" s="4"/>
      <c r="M103" s="4"/>
      <c r="N103" s="4"/>
      <c r="O103" s="5"/>
    </row>
    <row r="104" customFormat="false" ht="27.75" hidden="false" customHeight="true" outlineLevel="0" collapsed="false">
      <c r="A104" s="2" t="s">
        <v>214</v>
      </c>
      <c r="B104" s="3" t="s">
        <v>305</v>
      </c>
      <c r="C104" s="2" t="s">
        <v>306</v>
      </c>
      <c r="D104" s="3" t="s">
        <v>334</v>
      </c>
      <c r="E104" s="2" t="s">
        <v>335</v>
      </c>
      <c r="F104" s="3" t="s">
        <v>20</v>
      </c>
      <c r="G104" s="3" t="s">
        <v>21</v>
      </c>
      <c r="H104" s="3" t="s">
        <v>336</v>
      </c>
      <c r="I104" s="3"/>
      <c r="J104" s="4" t="s">
        <v>23</v>
      </c>
      <c r="K104" s="4"/>
      <c r="L104" s="4"/>
      <c r="M104" s="4"/>
      <c r="N104" s="4"/>
      <c r="O104" s="5"/>
    </row>
    <row r="105" customFormat="false" ht="27.75" hidden="false" customHeight="true" outlineLevel="0" collapsed="false">
      <c r="A105" s="2" t="s">
        <v>214</v>
      </c>
      <c r="B105" s="3" t="s">
        <v>305</v>
      </c>
      <c r="C105" s="2" t="s">
        <v>306</v>
      </c>
      <c r="D105" s="3" t="s">
        <v>337</v>
      </c>
      <c r="E105" s="2" t="s">
        <v>338</v>
      </c>
      <c r="F105" s="3" t="s">
        <v>20</v>
      </c>
      <c r="G105" s="3" t="s">
        <v>39</v>
      </c>
      <c r="H105" s="3" t="s">
        <v>339</v>
      </c>
      <c r="I105" s="3"/>
      <c r="J105" s="4" t="s">
        <v>23</v>
      </c>
      <c r="K105" s="4"/>
      <c r="L105" s="4"/>
      <c r="M105" s="4"/>
      <c r="N105" s="4"/>
      <c r="O105" s="5"/>
    </row>
    <row r="106" customFormat="false" ht="27.75" hidden="false" customHeight="true" outlineLevel="0" collapsed="false">
      <c r="A106" s="2" t="s">
        <v>214</v>
      </c>
      <c r="B106" s="3" t="s">
        <v>305</v>
      </c>
      <c r="C106" s="2" t="s">
        <v>306</v>
      </c>
      <c r="D106" s="3" t="s">
        <v>340</v>
      </c>
      <c r="E106" s="2" t="s">
        <v>341</v>
      </c>
      <c r="F106" s="3" t="s">
        <v>81</v>
      </c>
      <c r="G106" s="3"/>
      <c r="H106" s="3"/>
      <c r="I106" s="3"/>
      <c r="J106" s="4" t="s">
        <v>23</v>
      </c>
      <c r="K106" s="4"/>
      <c r="L106" s="4"/>
      <c r="M106" s="4"/>
      <c r="N106" s="4"/>
      <c r="O106" s="5"/>
    </row>
    <row r="107" customFormat="false" ht="27.75" hidden="false" customHeight="true" outlineLevel="0" collapsed="false">
      <c r="A107" s="2" t="s">
        <v>214</v>
      </c>
      <c r="B107" s="3" t="s">
        <v>305</v>
      </c>
      <c r="C107" s="2" t="s">
        <v>306</v>
      </c>
      <c r="D107" s="3" t="s">
        <v>342</v>
      </c>
      <c r="E107" s="2" t="s">
        <v>343</v>
      </c>
      <c r="F107" s="3" t="s">
        <v>35</v>
      </c>
      <c r="G107" s="3" t="s">
        <v>21</v>
      </c>
      <c r="H107" s="3" t="s">
        <v>344</v>
      </c>
      <c r="I107" s="3"/>
      <c r="J107" s="4" t="s">
        <v>23</v>
      </c>
      <c r="K107" s="4"/>
      <c r="L107" s="4"/>
      <c r="M107" s="4"/>
      <c r="N107" s="4"/>
      <c r="O107" s="5"/>
    </row>
    <row r="108" customFormat="false" ht="27.75" hidden="false" customHeight="true" outlineLevel="0" collapsed="false">
      <c r="A108" s="2" t="s">
        <v>214</v>
      </c>
      <c r="B108" s="3" t="s">
        <v>345</v>
      </c>
      <c r="C108" s="2" t="s">
        <v>346</v>
      </c>
      <c r="D108" s="3" t="s">
        <v>347</v>
      </c>
      <c r="E108" s="2" t="s">
        <v>348</v>
      </c>
      <c r="F108" s="3" t="s">
        <v>35</v>
      </c>
      <c r="G108" s="3" t="s">
        <v>39</v>
      </c>
      <c r="H108" s="3" t="s">
        <v>349</v>
      </c>
      <c r="I108" s="3"/>
      <c r="J108" s="4" t="s">
        <v>23</v>
      </c>
      <c r="K108" s="4"/>
      <c r="L108" s="4"/>
      <c r="M108" s="4"/>
      <c r="N108" s="4"/>
      <c r="O108" s="5"/>
    </row>
    <row r="109" customFormat="false" ht="27.75" hidden="false" customHeight="true" outlineLevel="0" collapsed="false">
      <c r="A109" s="2" t="s">
        <v>214</v>
      </c>
      <c r="B109" s="3" t="s">
        <v>345</v>
      </c>
      <c r="C109" s="2" t="s">
        <v>346</v>
      </c>
      <c r="D109" s="3" t="s">
        <v>350</v>
      </c>
      <c r="E109" s="2" t="s">
        <v>351</v>
      </c>
      <c r="F109" s="3" t="s">
        <v>35</v>
      </c>
      <c r="G109" s="3" t="s">
        <v>39</v>
      </c>
      <c r="H109" s="3" t="s">
        <v>352</v>
      </c>
      <c r="I109" s="3"/>
      <c r="J109" s="4" t="s">
        <v>23</v>
      </c>
      <c r="K109" s="4"/>
      <c r="L109" s="4"/>
      <c r="M109" s="4"/>
      <c r="N109" s="4"/>
      <c r="O109" s="5"/>
    </row>
    <row r="110" customFormat="false" ht="27.75" hidden="false" customHeight="true" outlineLevel="0" collapsed="false">
      <c r="A110" s="2" t="s">
        <v>214</v>
      </c>
      <c r="B110" s="3" t="s">
        <v>345</v>
      </c>
      <c r="C110" s="2" t="s">
        <v>346</v>
      </c>
      <c r="D110" s="3" t="s">
        <v>353</v>
      </c>
      <c r="E110" s="2" t="s">
        <v>354</v>
      </c>
      <c r="F110" s="3" t="s">
        <v>20</v>
      </c>
      <c r="G110" s="3" t="s">
        <v>21</v>
      </c>
      <c r="H110" s="3" t="s">
        <v>355</v>
      </c>
      <c r="I110" s="3"/>
      <c r="J110" s="4" t="s">
        <v>23</v>
      </c>
      <c r="K110" s="4"/>
      <c r="L110" s="4"/>
      <c r="M110" s="4"/>
      <c r="N110" s="4"/>
      <c r="O110" s="5"/>
    </row>
    <row r="111" customFormat="false" ht="27.75" hidden="false" customHeight="true" outlineLevel="0" collapsed="false">
      <c r="A111" s="2" t="s">
        <v>214</v>
      </c>
      <c r="B111" s="3" t="s">
        <v>345</v>
      </c>
      <c r="C111" s="2" t="s">
        <v>346</v>
      </c>
      <c r="D111" s="3" t="s">
        <v>356</v>
      </c>
      <c r="E111" s="2" t="s">
        <v>357</v>
      </c>
      <c r="F111" s="3" t="s">
        <v>20</v>
      </c>
      <c r="G111" s="3"/>
      <c r="H111" s="3" t="s">
        <v>358</v>
      </c>
      <c r="I111" s="3" t="s">
        <v>116</v>
      </c>
      <c r="J111" s="4" t="s">
        <v>23</v>
      </c>
      <c r="K111" s="4"/>
      <c r="L111" s="4"/>
      <c r="M111" s="4"/>
      <c r="N111" s="4"/>
      <c r="O111" s="5"/>
    </row>
    <row r="112" customFormat="false" ht="27.75" hidden="false" customHeight="true" outlineLevel="0" collapsed="false">
      <c r="A112" s="2" t="s">
        <v>214</v>
      </c>
      <c r="B112" s="3" t="s">
        <v>345</v>
      </c>
      <c r="C112" s="2" t="s">
        <v>346</v>
      </c>
      <c r="D112" s="3" t="s">
        <v>359</v>
      </c>
      <c r="E112" s="2" t="s">
        <v>360</v>
      </c>
      <c r="F112" s="3" t="s">
        <v>35</v>
      </c>
      <c r="G112" s="3" t="s">
        <v>21</v>
      </c>
      <c r="H112" s="3" t="s">
        <v>361</v>
      </c>
      <c r="I112" s="3" t="s">
        <v>116</v>
      </c>
      <c r="J112" s="4" t="s">
        <v>23</v>
      </c>
      <c r="K112" s="4"/>
      <c r="L112" s="4"/>
      <c r="M112" s="4"/>
      <c r="N112" s="4"/>
      <c r="O112" s="5"/>
    </row>
    <row r="113" customFormat="false" ht="27.75" hidden="false" customHeight="true" outlineLevel="0" collapsed="false">
      <c r="A113" s="2" t="s">
        <v>214</v>
      </c>
      <c r="B113" s="3" t="s">
        <v>345</v>
      </c>
      <c r="C113" s="2" t="s">
        <v>346</v>
      </c>
      <c r="D113" s="3" t="s">
        <v>362</v>
      </c>
      <c r="E113" s="2" t="s">
        <v>363</v>
      </c>
      <c r="F113" s="3" t="s">
        <v>20</v>
      </c>
      <c r="G113" s="3"/>
      <c r="H113" s="3" t="s">
        <v>364</v>
      </c>
      <c r="I113" s="3"/>
      <c r="J113" s="4" t="s">
        <v>23</v>
      </c>
      <c r="K113" s="4"/>
      <c r="L113" s="4"/>
      <c r="M113" s="4"/>
      <c r="N113" s="4"/>
      <c r="O113" s="5"/>
    </row>
    <row r="114" customFormat="false" ht="27.75" hidden="false" customHeight="true" outlineLevel="0" collapsed="false">
      <c r="A114" s="2" t="s">
        <v>214</v>
      </c>
      <c r="B114" s="3" t="s">
        <v>345</v>
      </c>
      <c r="C114" s="2" t="s">
        <v>346</v>
      </c>
      <c r="D114" s="3" t="s">
        <v>365</v>
      </c>
      <c r="E114" s="2" t="s">
        <v>366</v>
      </c>
      <c r="F114" s="3" t="s">
        <v>20</v>
      </c>
      <c r="G114" s="3" t="s">
        <v>39</v>
      </c>
      <c r="H114" s="3" t="s">
        <v>367</v>
      </c>
      <c r="I114" s="3"/>
      <c r="J114" s="4" t="s">
        <v>23</v>
      </c>
      <c r="K114" s="4"/>
      <c r="L114" s="4"/>
      <c r="M114" s="4"/>
      <c r="N114" s="4"/>
      <c r="O114" s="5"/>
    </row>
    <row r="115" customFormat="false" ht="27.75" hidden="false" customHeight="true" outlineLevel="0" collapsed="false">
      <c r="A115" s="2" t="s">
        <v>214</v>
      </c>
      <c r="B115" s="3" t="s">
        <v>345</v>
      </c>
      <c r="C115" s="2" t="s">
        <v>346</v>
      </c>
      <c r="D115" s="3" t="s">
        <v>368</v>
      </c>
      <c r="E115" s="2" t="s">
        <v>369</v>
      </c>
      <c r="F115" s="3" t="s">
        <v>20</v>
      </c>
      <c r="G115" s="3" t="s">
        <v>39</v>
      </c>
      <c r="H115" s="3" t="s">
        <v>370</v>
      </c>
      <c r="I115" s="3"/>
      <c r="J115" s="4" t="s">
        <v>23</v>
      </c>
      <c r="K115" s="4"/>
      <c r="L115" s="4"/>
      <c r="M115" s="4"/>
      <c r="N115" s="4"/>
      <c r="O115" s="5"/>
    </row>
    <row r="116" customFormat="false" ht="27.75" hidden="false" customHeight="true" outlineLevel="0" collapsed="false">
      <c r="A116" s="2" t="s">
        <v>214</v>
      </c>
      <c r="B116" s="3" t="s">
        <v>345</v>
      </c>
      <c r="C116" s="2" t="s">
        <v>346</v>
      </c>
      <c r="D116" s="3" t="s">
        <v>371</v>
      </c>
      <c r="E116" s="2" t="s">
        <v>372</v>
      </c>
      <c r="F116" s="3" t="s">
        <v>20</v>
      </c>
      <c r="G116" s="3"/>
      <c r="H116" s="3" t="s">
        <v>373</v>
      </c>
      <c r="I116" s="3"/>
      <c r="J116" s="4" t="s">
        <v>23</v>
      </c>
      <c r="K116" s="4"/>
      <c r="L116" s="4"/>
      <c r="M116" s="4"/>
      <c r="N116" s="4"/>
      <c r="O116" s="5"/>
    </row>
    <row r="117" customFormat="false" ht="27.75" hidden="false" customHeight="true" outlineLevel="0" collapsed="false">
      <c r="A117" s="2" t="s">
        <v>374</v>
      </c>
      <c r="B117" s="3" t="s">
        <v>375</v>
      </c>
      <c r="C117" s="2" t="s">
        <v>376</v>
      </c>
      <c r="D117" s="3" t="s">
        <v>377</v>
      </c>
      <c r="E117" s="2" t="s">
        <v>378</v>
      </c>
      <c r="F117" s="3" t="s">
        <v>20</v>
      </c>
      <c r="G117" s="3" t="s">
        <v>21</v>
      </c>
      <c r="H117" s="3" t="s">
        <v>379</v>
      </c>
      <c r="I117" s="3"/>
      <c r="J117" s="4" t="s">
        <v>23</v>
      </c>
      <c r="K117" s="4"/>
      <c r="L117" s="4"/>
      <c r="M117" s="4"/>
      <c r="N117" s="4"/>
      <c r="O117" s="5"/>
    </row>
    <row r="118" customFormat="false" ht="27.75" hidden="false" customHeight="true" outlineLevel="0" collapsed="false">
      <c r="A118" s="2" t="s">
        <v>374</v>
      </c>
      <c r="B118" s="3" t="s">
        <v>375</v>
      </c>
      <c r="C118" s="2" t="s">
        <v>376</v>
      </c>
      <c r="D118" s="3" t="s">
        <v>380</v>
      </c>
      <c r="E118" s="2" t="s">
        <v>381</v>
      </c>
      <c r="F118" s="3" t="s">
        <v>20</v>
      </c>
      <c r="G118" s="3" t="s">
        <v>21</v>
      </c>
      <c r="H118" s="3" t="s">
        <v>382</v>
      </c>
      <c r="I118" s="3"/>
      <c r="J118" s="4" t="s">
        <v>23</v>
      </c>
      <c r="K118" s="4"/>
      <c r="L118" s="4"/>
      <c r="M118" s="4"/>
      <c r="N118" s="4"/>
      <c r="O118" s="5"/>
    </row>
    <row r="119" customFormat="false" ht="27.75" hidden="false" customHeight="true" outlineLevel="0" collapsed="false">
      <c r="A119" s="2" t="s">
        <v>374</v>
      </c>
      <c r="B119" s="3" t="s">
        <v>375</v>
      </c>
      <c r="C119" s="2" t="s">
        <v>376</v>
      </c>
      <c r="D119" s="3" t="s">
        <v>383</v>
      </c>
      <c r="E119" s="2" t="s">
        <v>384</v>
      </c>
      <c r="F119" s="3" t="s">
        <v>20</v>
      </c>
      <c r="G119" s="3" t="s">
        <v>39</v>
      </c>
      <c r="H119" s="3" t="s">
        <v>385</v>
      </c>
      <c r="I119" s="3"/>
      <c r="J119" s="4" t="s">
        <v>23</v>
      </c>
      <c r="K119" s="4"/>
      <c r="L119" s="4"/>
      <c r="M119" s="4"/>
      <c r="N119" s="4"/>
      <c r="O119" s="5"/>
    </row>
    <row r="120" customFormat="false" ht="27.75" hidden="false" customHeight="true" outlineLevel="0" collapsed="false">
      <c r="A120" s="2" t="s">
        <v>374</v>
      </c>
      <c r="B120" s="3" t="s">
        <v>375</v>
      </c>
      <c r="C120" s="2" t="s">
        <v>376</v>
      </c>
      <c r="D120" s="3" t="s">
        <v>386</v>
      </c>
      <c r="E120" s="2" t="s">
        <v>387</v>
      </c>
      <c r="F120" s="3" t="s">
        <v>43</v>
      </c>
      <c r="G120" s="3"/>
      <c r="H120" s="3"/>
      <c r="I120" s="3"/>
      <c r="J120" s="4" t="s">
        <v>23</v>
      </c>
      <c r="K120" s="4"/>
      <c r="L120" s="4"/>
      <c r="M120" s="4"/>
      <c r="N120" s="4"/>
      <c r="O120" s="5"/>
    </row>
    <row r="121" customFormat="false" ht="27.75" hidden="false" customHeight="true" outlineLevel="0" collapsed="false">
      <c r="A121" s="2" t="s">
        <v>374</v>
      </c>
      <c r="B121" s="3" t="s">
        <v>375</v>
      </c>
      <c r="C121" s="2" t="s">
        <v>376</v>
      </c>
      <c r="D121" s="3" t="s">
        <v>388</v>
      </c>
      <c r="E121" s="2" t="s">
        <v>389</v>
      </c>
      <c r="F121" s="3" t="s">
        <v>20</v>
      </c>
      <c r="G121" s="3"/>
      <c r="H121" s="3" t="s">
        <v>390</v>
      </c>
      <c r="I121" s="3"/>
      <c r="J121" s="4" t="s">
        <v>23</v>
      </c>
      <c r="K121" s="4"/>
      <c r="L121" s="4"/>
      <c r="M121" s="4"/>
      <c r="N121" s="4"/>
      <c r="O121" s="5"/>
    </row>
    <row r="122" customFormat="false" ht="27.75" hidden="false" customHeight="true" outlineLevel="0" collapsed="false">
      <c r="A122" s="2" t="s">
        <v>374</v>
      </c>
      <c r="B122" s="3" t="s">
        <v>375</v>
      </c>
      <c r="C122" s="2" t="s">
        <v>376</v>
      </c>
      <c r="D122" s="3" t="s">
        <v>391</v>
      </c>
      <c r="E122" s="2" t="s">
        <v>392</v>
      </c>
      <c r="F122" s="3" t="s">
        <v>43</v>
      </c>
      <c r="G122" s="3"/>
      <c r="H122" s="3"/>
      <c r="I122" s="3"/>
      <c r="J122" s="4" t="s">
        <v>23</v>
      </c>
      <c r="K122" s="4"/>
      <c r="L122" s="4"/>
      <c r="M122" s="4"/>
      <c r="N122" s="4"/>
      <c r="O122" s="5"/>
    </row>
    <row r="123" customFormat="false" ht="27.75" hidden="false" customHeight="true" outlineLevel="0" collapsed="false">
      <c r="A123" s="2" t="s">
        <v>374</v>
      </c>
      <c r="B123" s="3" t="s">
        <v>393</v>
      </c>
      <c r="C123" s="2" t="s">
        <v>394</v>
      </c>
      <c r="D123" s="3" t="s">
        <v>395</v>
      </c>
      <c r="E123" s="2" t="s">
        <v>396</v>
      </c>
      <c r="F123" s="3" t="s">
        <v>81</v>
      </c>
      <c r="G123" s="3"/>
      <c r="H123" s="3"/>
      <c r="I123" s="3"/>
      <c r="J123" s="4" t="s">
        <v>23</v>
      </c>
      <c r="K123" s="4"/>
      <c r="L123" s="4"/>
      <c r="M123" s="4"/>
      <c r="N123" s="4"/>
      <c r="O123" s="5"/>
    </row>
    <row r="124" customFormat="false" ht="27.75" hidden="false" customHeight="true" outlineLevel="0" collapsed="false">
      <c r="A124" s="2" t="s">
        <v>374</v>
      </c>
      <c r="B124" s="3" t="s">
        <v>393</v>
      </c>
      <c r="C124" s="2" t="s">
        <v>394</v>
      </c>
      <c r="D124" s="3" t="s">
        <v>397</v>
      </c>
      <c r="E124" s="2" t="s">
        <v>398</v>
      </c>
      <c r="F124" s="3" t="s">
        <v>20</v>
      </c>
      <c r="G124" s="3" t="s">
        <v>21</v>
      </c>
      <c r="H124" s="3" t="s">
        <v>399</v>
      </c>
      <c r="I124" s="3"/>
      <c r="J124" s="4" t="s">
        <v>23</v>
      </c>
      <c r="K124" s="4"/>
      <c r="L124" s="4"/>
      <c r="M124" s="4"/>
      <c r="N124" s="4"/>
      <c r="O124" s="5"/>
    </row>
    <row r="125" customFormat="false" ht="27.75" hidden="false" customHeight="true" outlineLevel="0" collapsed="false">
      <c r="A125" s="2" t="s">
        <v>374</v>
      </c>
      <c r="B125" s="3" t="s">
        <v>393</v>
      </c>
      <c r="C125" s="2" t="s">
        <v>394</v>
      </c>
      <c r="D125" s="3" t="s">
        <v>400</v>
      </c>
      <c r="E125" s="2" t="s">
        <v>401</v>
      </c>
      <c r="F125" s="3" t="s">
        <v>35</v>
      </c>
      <c r="G125" s="3" t="s">
        <v>39</v>
      </c>
      <c r="H125" s="3" t="s">
        <v>402</v>
      </c>
      <c r="I125" s="3" t="s">
        <v>116</v>
      </c>
      <c r="J125" s="4" t="s">
        <v>23</v>
      </c>
      <c r="K125" s="4"/>
      <c r="L125" s="4"/>
      <c r="M125" s="4"/>
      <c r="N125" s="4"/>
      <c r="O125" s="5"/>
    </row>
    <row r="126" customFormat="false" ht="27.75" hidden="false" customHeight="true" outlineLevel="0" collapsed="false">
      <c r="A126" s="2" t="s">
        <v>374</v>
      </c>
      <c r="B126" s="3" t="s">
        <v>393</v>
      </c>
      <c r="C126" s="2" t="s">
        <v>394</v>
      </c>
      <c r="D126" s="3" t="s">
        <v>403</v>
      </c>
      <c r="E126" s="2" t="s">
        <v>404</v>
      </c>
      <c r="F126" s="3" t="s">
        <v>20</v>
      </c>
      <c r="G126" s="3" t="s">
        <v>39</v>
      </c>
      <c r="H126" s="3" t="s">
        <v>405</v>
      </c>
      <c r="I126" s="3" t="s">
        <v>116</v>
      </c>
      <c r="J126" s="4" t="s">
        <v>23</v>
      </c>
      <c r="K126" s="4"/>
      <c r="L126" s="4"/>
      <c r="M126" s="4"/>
      <c r="N126" s="4"/>
      <c r="O126" s="5"/>
    </row>
    <row r="127" customFormat="false" ht="27.75" hidden="false" customHeight="true" outlineLevel="0" collapsed="false">
      <c r="A127" s="2" t="s">
        <v>374</v>
      </c>
      <c r="B127" s="3" t="s">
        <v>393</v>
      </c>
      <c r="C127" s="2" t="s">
        <v>394</v>
      </c>
      <c r="D127" s="3" t="s">
        <v>406</v>
      </c>
      <c r="E127" s="2" t="s">
        <v>407</v>
      </c>
      <c r="F127" s="3" t="s">
        <v>20</v>
      </c>
      <c r="G127" s="3"/>
      <c r="H127" s="3" t="s">
        <v>408</v>
      </c>
      <c r="I127" s="3"/>
      <c r="J127" s="4" t="s">
        <v>23</v>
      </c>
      <c r="K127" s="4"/>
      <c r="L127" s="4"/>
      <c r="M127" s="4"/>
      <c r="N127" s="4"/>
      <c r="O127" s="5"/>
    </row>
    <row r="128" customFormat="false" ht="27.75" hidden="false" customHeight="true" outlineLevel="0" collapsed="false">
      <c r="A128" s="2" t="s">
        <v>374</v>
      </c>
      <c r="B128" s="3" t="s">
        <v>393</v>
      </c>
      <c r="C128" s="2" t="s">
        <v>394</v>
      </c>
      <c r="D128" s="3" t="s">
        <v>409</v>
      </c>
      <c r="E128" s="2" t="s">
        <v>410</v>
      </c>
      <c r="F128" s="3" t="s">
        <v>20</v>
      </c>
      <c r="G128" s="3" t="s">
        <v>39</v>
      </c>
      <c r="H128" s="3" t="s">
        <v>411</v>
      </c>
      <c r="I128" s="3"/>
      <c r="J128" s="4" t="s">
        <v>23</v>
      </c>
      <c r="K128" s="4"/>
      <c r="L128" s="4"/>
      <c r="M128" s="4"/>
      <c r="N128" s="4"/>
      <c r="O128" s="5"/>
    </row>
    <row r="129" customFormat="false" ht="27.75" hidden="false" customHeight="true" outlineLevel="0" collapsed="false">
      <c r="A129" s="2" t="s">
        <v>374</v>
      </c>
      <c r="B129" s="3" t="s">
        <v>393</v>
      </c>
      <c r="C129" s="2" t="s">
        <v>394</v>
      </c>
      <c r="D129" s="3" t="s">
        <v>412</v>
      </c>
      <c r="E129" s="2" t="s">
        <v>413</v>
      </c>
      <c r="F129" s="3" t="s">
        <v>20</v>
      </c>
      <c r="G129" s="3" t="s">
        <v>39</v>
      </c>
      <c r="H129" s="3" t="s">
        <v>414</v>
      </c>
      <c r="I129" s="3"/>
      <c r="J129" s="4" t="s">
        <v>23</v>
      </c>
      <c r="K129" s="4"/>
      <c r="L129" s="4"/>
      <c r="M129" s="4"/>
      <c r="N129" s="4"/>
      <c r="O129" s="5"/>
    </row>
    <row r="130" customFormat="false" ht="27.75" hidden="false" customHeight="true" outlineLevel="0" collapsed="false">
      <c r="A130" s="2" t="s">
        <v>374</v>
      </c>
      <c r="B130" s="3" t="s">
        <v>393</v>
      </c>
      <c r="C130" s="2" t="s">
        <v>394</v>
      </c>
      <c r="D130" s="3" t="s">
        <v>415</v>
      </c>
      <c r="E130" s="2" t="s">
        <v>416</v>
      </c>
      <c r="F130" s="3" t="s">
        <v>81</v>
      </c>
      <c r="G130" s="3"/>
      <c r="H130" s="3"/>
      <c r="I130" s="3"/>
      <c r="J130" s="4" t="s">
        <v>23</v>
      </c>
      <c r="K130" s="4"/>
      <c r="L130" s="4"/>
      <c r="M130" s="4"/>
      <c r="N130" s="4"/>
      <c r="O130" s="5"/>
    </row>
    <row r="131" customFormat="false" ht="27.75" hidden="false" customHeight="true" outlineLevel="0" collapsed="false">
      <c r="A131" s="2" t="s">
        <v>374</v>
      </c>
      <c r="B131" s="3" t="s">
        <v>417</v>
      </c>
      <c r="C131" s="2" t="s">
        <v>418</v>
      </c>
      <c r="D131" s="3" t="s">
        <v>419</v>
      </c>
      <c r="E131" s="2" t="s">
        <v>420</v>
      </c>
      <c r="F131" s="3" t="s">
        <v>43</v>
      </c>
      <c r="G131" s="3"/>
      <c r="H131" s="3"/>
      <c r="I131" s="3"/>
      <c r="J131" s="4" t="s">
        <v>23</v>
      </c>
      <c r="K131" s="4"/>
      <c r="L131" s="4"/>
      <c r="M131" s="4"/>
      <c r="N131" s="4"/>
      <c r="O131" s="5"/>
    </row>
    <row r="132" customFormat="false" ht="27.75" hidden="false" customHeight="true" outlineLevel="0" collapsed="false">
      <c r="A132" s="2" t="s">
        <v>374</v>
      </c>
      <c r="B132" s="3" t="s">
        <v>417</v>
      </c>
      <c r="C132" s="2" t="s">
        <v>418</v>
      </c>
      <c r="D132" s="3" t="s">
        <v>421</v>
      </c>
      <c r="E132" s="2" t="s">
        <v>422</v>
      </c>
      <c r="F132" s="3" t="s">
        <v>20</v>
      </c>
      <c r="G132" s="3" t="s">
        <v>21</v>
      </c>
      <c r="H132" s="3" t="s">
        <v>423</v>
      </c>
      <c r="I132" s="3"/>
      <c r="J132" s="4" t="s">
        <v>23</v>
      </c>
      <c r="K132" s="4"/>
      <c r="L132" s="4"/>
      <c r="M132" s="4"/>
      <c r="N132" s="4"/>
      <c r="O132" s="5"/>
    </row>
    <row r="133" customFormat="false" ht="27.75" hidden="false" customHeight="true" outlineLevel="0" collapsed="false">
      <c r="A133" s="2" t="s">
        <v>374</v>
      </c>
      <c r="B133" s="3" t="s">
        <v>417</v>
      </c>
      <c r="C133" s="2" t="s">
        <v>418</v>
      </c>
      <c r="D133" s="3" t="s">
        <v>424</v>
      </c>
      <c r="E133" s="2" t="s">
        <v>425</v>
      </c>
      <c r="F133" s="3" t="s">
        <v>20</v>
      </c>
      <c r="G133" s="3" t="s">
        <v>39</v>
      </c>
      <c r="H133" s="3" t="s">
        <v>426</v>
      </c>
      <c r="I133" s="3"/>
      <c r="J133" s="4" t="s">
        <v>23</v>
      </c>
      <c r="K133" s="4"/>
      <c r="L133" s="4"/>
      <c r="M133" s="4"/>
      <c r="N133" s="4"/>
      <c r="O133" s="5"/>
    </row>
    <row r="134" customFormat="false" ht="27.75" hidden="false" customHeight="true" outlineLevel="0" collapsed="false">
      <c r="A134" s="2" t="s">
        <v>374</v>
      </c>
      <c r="B134" s="3" t="s">
        <v>417</v>
      </c>
      <c r="C134" s="2" t="s">
        <v>418</v>
      </c>
      <c r="D134" s="3" t="s">
        <v>427</v>
      </c>
      <c r="E134" s="2" t="s">
        <v>428</v>
      </c>
      <c r="F134" s="3" t="s">
        <v>20</v>
      </c>
      <c r="G134" s="3" t="s">
        <v>39</v>
      </c>
      <c r="H134" s="3" t="s">
        <v>429</v>
      </c>
      <c r="I134" s="3"/>
      <c r="J134" s="4" t="s">
        <v>23</v>
      </c>
      <c r="K134" s="4"/>
      <c r="L134" s="4"/>
      <c r="M134" s="4"/>
      <c r="N134" s="4"/>
      <c r="O134" s="5"/>
    </row>
    <row r="135" customFormat="false" ht="27.75" hidden="false" customHeight="true" outlineLevel="0" collapsed="false">
      <c r="A135" s="2" t="s">
        <v>374</v>
      </c>
      <c r="B135" s="3" t="s">
        <v>417</v>
      </c>
      <c r="C135" s="2" t="s">
        <v>418</v>
      </c>
      <c r="D135" s="3" t="s">
        <v>430</v>
      </c>
      <c r="E135" s="2" t="s">
        <v>431</v>
      </c>
      <c r="F135" s="3" t="s">
        <v>43</v>
      </c>
      <c r="G135" s="3"/>
      <c r="H135" s="3"/>
      <c r="I135" s="3"/>
      <c r="J135" s="4" t="s">
        <v>23</v>
      </c>
      <c r="K135" s="4"/>
      <c r="L135" s="4"/>
      <c r="M135" s="4"/>
      <c r="N135" s="4"/>
      <c r="O135" s="5"/>
    </row>
    <row r="136" customFormat="false" ht="27.75" hidden="false" customHeight="true" outlineLevel="0" collapsed="false">
      <c r="A136" s="2" t="s">
        <v>374</v>
      </c>
      <c r="B136" s="3" t="s">
        <v>417</v>
      </c>
      <c r="C136" s="2" t="s">
        <v>418</v>
      </c>
      <c r="D136" s="3" t="s">
        <v>432</v>
      </c>
      <c r="E136" s="2" t="s">
        <v>433</v>
      </c>
      <c r="F136" s="3" t="s">
        <v>43</v>
      </c>
      <c r="G136" s="3"/>
      <c r="H136" s="3"/>
      <c r="I136" s="3"/>
      <c r="J136" s="4" t="s">
        <v>23</v>
      </c>
      <c r="K136" s="4"/>
      <c r="L136" s="4"/>
      <c r="M136" s="4"/>
      <c r="N136" s="4"/>
      <c r="O136" s="5"/>
    </row>
    <row r="137" customFormat="false" ht="27.75" hidden="false" customHeight="true" outlineLevel="0" collapsed="false">
      <c r="A137" s="2" t="s">
        <v>374</v>
      </c>
      <c r="B137" s="3" t="s">
        <v>434</v>
      </c>
      <c r="C137" s="2" t="s">
        <v>435</v>
      </c>
      <c r="D137" s="3" t="s">
        <v>436</v>
      </c>
      <c r="E137" s="2" t="s">
        <v>437</v>
      </c>
      <c r="F137" s="3" t="s">
        <v>35</v>
      </c>
      <c r="G137" s="3" t="s">
        <v>39</v>
      </c>
      <c r="H137" s="3" t="s">
        <v>438</v>
      </c>
      <c r="I137" s="3"/>
      <c r="J137" s="4" t="s">
        <v>23</v>
      </c>
      <c r="K137" s="4"/>
      <c r="L137" s="4"/>
      <c r="M137" s="4"/>
      <c r="N137" s="4"/>
      <c r="O137" s="5"/>
    </row>
    <row r="138" customFormat="false" ht="27.75" hidden="false" customHeight="true" outlineLevel="0" collapsed="false">
      <c r="A138" s="2" t="s">
        <v>374</v>
      </c>
      <c r="B138" s="3" t="s">
        <v>434</v>
      </c>
      <c r="C138" s="2" t="s">
        <v>435</v>
      </c>
      <c r="D138" s="3" t="s">
        <v>439</v>
      </c>
      <c r="E138" s="2" t="s">
        <v>440</v>
      </c>
      <c r="F138" s="3" t="s">
        <v>20</v>
      </c>
      <c r="G138" s="3"/>
      <c r="H138" s="3" t="s">
        <v>441</v>
      </c>
      <c r="I138" s="3" t="s">
        <v>116</v>
      </c>
      <c r="J138" s="4" t="s">
        <v>23</v>
      </c>
      <c r="K138" s="4"/>
      <c r="L138" s="4"/>
      <c r="M138" s="4"/>
      <c r="N138" s="4"/>
      <c r="O138" s="5"/>
    </row>
    <row r="139" customFormat="false" ht="27.75" hidden="false" customHeight="true" outlineLevel="0" collapsed="false">
      <c r="A139" s="2" t="s">
        <v>374</v>
      </c>
      <c r="B139" s="3" t="s">
        <v>434</v>
      </c>
      <c r="C139" s="2" t="s">
        <v>435</v>
      </c>
      <c r="D139" s="3" t="s">
        <v>442</v>
      </c>
      <c r="E139" s="2" t="s">
        <v>443</v>
      </c>
      <c r="F139" s="3" t="s">
        <v>20</v>
      </c>
      <c r="G139" s="3"/>
      <c r="H139" s="3" t="s">
        <v>444</v>
      </c>
      <c r="I139" s="3"/>
      <c r="J139" s="4" t="s">
        <v>23</v>
      </c>
      <c r="K139" s="4"/>
      <c r="L139" s="4"/>
      <c r="M139" s="4"/>
      <c r="N139" s="4"/>
      <c r="O139" s="5"/>
    </row>
    <row r="140" customFormat="false" ht="27.75" hidden="false" customHeight="true" outlineLevel="0" collapsed="false">
      <c r="A140" s="2" t="s">
        <v>374</v>
      </c>
      <c r="B140" s="3" t="s">
        <v>434</v>
      </c>
      <c r="C140" s="2" t="s">
        <v>435</v>
      </c>
      <c r="D140" s="3" t="s">
        <v>445</v>
      </c>
      <c r="E140" s="2" t="s">
        <v>446</v>
      </c>
      <c r="F140" s="3" t="s">
        <v>81</v>
      </c>
      <c r="G140" s="3"/>
      <c r="H140" s="3"/>
      <c r="I140" s="3"/>
      <c r="J140" s="4" t="s">
        <v>23</v>
      </c>
      <c r="K140" s="4"/>
      <c r="L140" s="4"/>
      <c r="M140" s="4"/>
      <c r="N140" s="4"/>
      <c r="O140" s="5"/>
    </row>
    <row r="141" customFormat="false" ht="27.75" hidden="false" customHeight="true" outlineLevel="0" collapsed="false">
      <c r="A141" s="2" t="s">
        <v>374</v>
      </c>
      <c r="B141" s="3" t="s">
        <v>434</v>
      </c>
      <c r="C141" s="2" t="s">
        <v>435</v>
      </c>
      <c r="D141" s="3" t="s">
        <v>447</v>
      </c>
      <c r="E141" s="2" t="s">
        <v>448</v>
      </c>
      <c r="F141" s="3" t="s">
        <v>81</v>
      </c>
      <c r="G141" s="3"/>
      <c r="H141" s="3"/>
      <c r="I141" s="3"/>
      <c r="J141" s="4" t="s">
        <v>23</v>
      </c>
      <c r="K141" s="4"/>
      <c r="L141" s="4"/>
      <c r="M141" s="4"/>
      <c r="N141" s="4"/>
      <c r="O141" s="5"/>
    </row>
    <row r="142" customFormat="false" ht="27.75" hidden="false" customHeight="true" outlineLevel="0" collapsed="false">
      <c r="A142" s="2" t="s">
        <v>374</v>
      </c>
      <c r="B142" s="3" t="s">
        <v>434</v>
      </c>
      <c r="C142" s="2" t="s">
        <v>435</v>
      </c>
      <c r="D142" s="3" t="s">
        <v>449</v>
      </c>
      <c r="E142" s="2" t="s">
        <v>450</v>
      </c>
      <c r="F142" s="3" t="s">
        <v>20</v>
      </c>
      <c r="G142" s="3" t="s">
        <v>21</v>
      </c>
      <c r="H142" s="3" t="s">
        <v>451</v>
      </c>
      <c r="I142" s="3"/>
      <c r="J142" s="4" t="s">
        <v>23</v>
      </c>
      <c r="K142" s="4"/>
      <c r="L142" s="4"/>
      <c r="M142" s="4"/>
      <c r="N142" s="4"/>
      <c r="O142" s="5"/>
    </row>
    <row r="143" customFormat="false" ht="27.75" hidden="false" customHeight="true" outlineLevel="0" collapsed="false">
      <c r="A143" s="2" t="s">
        <v>374</v>
      </c>
      <c r="B143" s="3" t="s">
        <v>434</v>
      </c>
      <c r="C143" s="2" t="s">
        <v>435</v>
      </c>
      <c r="D143" s="3" t="s">
        <v>452</v>
      </c>
      <c r="E143" s="2" t="s">
        <v>453</v>
      </c>
      <c r="F143" s="3" t="s">
        <v>20</v>
      </c>
      <c r="G143" s="3" t="s">
        <v>39</v>
      </c>
      <c r="H143" s="3" t="s">
        <v>454</v>
      </c>
      <c r="I143" s="3"/>
      <c r="J143" s="4" t="s">
        <v>23</v>
      </c>
      <c r="K143" s="4"/>
      <c r="L143" s="4"/>
      <c r="M143" s="4"/>
      <c r="N143" s="4"/>
      <c r="O143" s="5"/>
    </row>
    <row r="144" customFormat="false" ht="27.75" hidden="false" customHeight="true" outlineLevel="0" collapsed="false">
      <c r="A144" s="2" t="s">
        <v>374</v>
      </c>
      <c r="B144" s="3" t="s">
        <v>434</v>
      </c>
      <c r="C144" s="2" t="s">
        <v>435</v>
      </c>
      <c r="D144" s="3" t="s">
        <v>455</v>
      </c>
      <c r="E144" s="2" t="s">
        <v>456</v>
      </c>
      <c r="F144" s="3" t="s">
        <v>20</v>
      </c>
      <c r="G144" s="3" t="s">
        <v>39</v>
      </c>
      <c r="H144" s="3" t="s">
        <v>457</v>
      </c>
      <c r="I144" s="3"/>
      <c r="J144" s="4" t="s">
        <v>23</v>
      </c>
      <c r="K144" s="4"/>
      <c r="L144" s="4"/>
      <c r="M144" s="4"/>
      <c r="N144" s="4"/>
      <c r="O144" s="5"/>
    </row>
    <row r="145" customFormat="false" ht="27.75" hidden="false" customHeight="true" outlineLevel="0" collapsed="false">
      <c r="A145" s="2" t="s">
        <v>458</v>
      </c>
      <c r="B145" s="3" t="s">
        <v>459</v>
      </c>
      <c r="C145" s="2" t="s">
        <v>460</v>
      </c>
      <c r="D145" s="3" t="s">
        <v>461</v>
      </c>
      <c r="E145" s="2" t="s">
        <v>462</v>
      </c>
      <c r="F145" s="3" t="s">
        <v>81</v>
      </c>
      <c r="G145" s="3"/>
      <c r="H145" s="3"/>
      <c r="I145" s="3"/>
      <c r="J145" s="4" t="s">
        <v>23</v>
      </c>
      <c r="K145" s="4"/>
      <c r="L145" s="4"/>
      <c r="M145" s="4"/>
      <c r="N145" s="4"/>
      <c r="O145" s="5"/>
    </row>
    <row r="146" customFormat="false" ht="27.75" hidden="false" customHeight="true" outlineLevel="0" collapsed="false">
      <c r="A146" s="2" t="s">
        <v>458</v>
      </c>
      <c r="B146" s="3" t="s">
        <v>459</v>
      </c>
      <c r="C146" s="2" t="s">
        <v>460</v>
      </c>
      <c r="D146" s="3" t="s">
        <v>463</v>
      </c>
      <c r="E146" s="2" t="s">
        <v>464</v>
      </c>
      <c r="F146" s="3" t="s">
        <v>20</v>
      </c>
      <c r="G146" s="3" t="s">
        <v>21</v>
      </c>
      <c r="H146" s="3" t="s">
        <v>465</v>
      </c>
      <c r="I146" s="3"/>
      <c r="J146" s="4" t="s">
        <v>23</v>
      </c>
      <c r="K146" s="4"/>
      <c r="L146" s="4"/>
      <c r="M146" s="4"/>
      <c r="N146" s="4"/>
      <c r="O146" s="5"/>
    </row>
    <row r="147" customFormat="false" ht="27.75" hidden="false" customHeight="true" outlineLevel="0" collapsed="false">
      <c r="A147" s="2" t="s">
        <v>458</v>
      </c>
      <c r="B147" s="3" t="s">
        <v>459</v>
      </c>
      <c r="C147" s="2" t="s">
        <v>460</v>
      </c>
      <c r="D147" s="3" t="s">
        <v>466</v>
      </c>
      <c r="E147" s="2" t="s">
        <v>467</v>
      </c>
      <c r="F147" s="3" t="s">
        <v>81</v>
      </c>
      <c r="G147" s="3"/>
      <c r="H147" s="3"/>
      <c r="I147" s="3"/>
      <c r="J147" s="4" t="s">
        <v>23</v>
      </c>
      <c r="K147" s="4"/>
      <c r="L147" s="4"/>
      <c r="M147" s="4"/>
      <c r="N147" s="4"/>
      <c r="O147" s="5"/>
    </row>
    <row r="148" customFormat="false" ht="27.75" hidden="false" customHeight="true" outlineLevel="0" collapsed="false">
      <c r="A148" s="2" t="s">
        <v>458</v>
      </c>
      <c r="B148" s="3" t="s">
        <v>459</v>
      </c>
      <c r="C148" s="2" t="s">
        <v>460</v>
      </c>
      <c r="D148" s="3" t="s">
        <v>468</v>
      </c>
      <c r="E148" s="2" t="s">
        <v>469</v>
      </c>
      <c r="F148" s="3" t="s">
        <v>81</v>
      </c>
      <c r="G148" s="3"/>
      <c r="H148" s="3"/>
      <c r="I148" s="3"/>
      <c r="J148" s="4" t="s">
        <v>23</v>
      </c>
      <c r="K148" s="4"/>
      <c r="L148" s="4"/>
      <c r="M148" s="4"/>
      <c r="N148" s="4"/>
      <c r="O148" s="5"/>
    </row>
    <row r="149" customFormat="false" ht="27.75" hidden="false" customHeight="true" outlineLevel="0" collapsed="false">
      <c r="A149" s="2" t="s">
        <v>458</v>
      </c>
      <c r="B149" s="3" t="s">
        <v>459</v>
      </c>
      <c r="C149" s="2" t="s">
        <v>460</v>
      </c>
      <c r="D149" s="3" t="s">
        <v>470</v>
      </c>
      <c r="E149" s="2" t="s">
        <v>471</v>
      </c>
      <c r="F149" s="3" t="s">
        <v>81</v>
      </c>
      <c r="G149" s="3"/>
      <c r="H149" s="3"/>
      <c r="I149" s="3"/>
      <c r="J149" s="4" t="s">
        <v>23</v>
      </c>
      <c r="K149" s="4"/>
      <c r="L149" s="4"/>
      <c r="M149" s="4"/>
      <c r="N149" s="4"/>
      <c r="O149" s="5"/>
    </row>
    <row r="150" customFormat="false" ht="27.75" hidden="false" customHeight="true" outlineLevel="0" collapsed="false">
      <c r="A150" s="2" t="s">
        <v>458</v>
      </c>
      <c r="B150" s="3" t="s">
        <v>472</v>
      </c>
      <c r="C150" s="2" t="s">
        <v>473</v>
      </c>
      <c r="D150" s="3" t="s">
        <v>474</v>
      </c>
      <c r="E150" s="2" t="s">
        <v>475</v>
      </c>
      <c r="F150" s="3" t="s">
        <v>81</v>
      </c>
      <c r="G150" s="3"/>
      <c r="H150" s="3"/>
      <c r="I150" s="3"/>
      <c r="J150" s="4" t="s">
        <v>23</v>
      </c>
      <c r="K150" s="4"/>
      <c r="L150" s="4"/>
      <c r="M150" s="4"/>
      <c r="N150" s="4"/>
      <c r="O150" s="5"/>
    </row>
    <row r="151" customFormat="false" ht="27.75" hidden="false" customHeight="true" outlineLevel="0" collapsed="false">
      <c r="A151" s="2" t="s">
        <v>458</v>
      </c>
      <c r="B151" s="3" t="s">
        <v>472</v>
      </c>
      <c r="C151" s="2" t="s">
        <v>473</v>
      </c>
      <c r="D151" s="3" t="s">
        <v>476</v>
      </c>
      <c r="E151" s="2" t="s">
        <v>477</v>
      </c>
      <c r="F151" s="3" t="s">
        <v>81</v>
      </c>
      <c r="G151" s="3"/>
      <c r="H151" s="3"/>
      <c r="I151" s="3"/>
      <c r="J151" s="4" t="s">
        <v>23</v>
      </c>
      <c r="K151" s="4"/>
      <c r="L151" s="4"/>
      <c r="M151" s="4"/>
      <c r="N151" s="4"/>
      <c r="O151" s="5"/>
    </row>
    <row r="152" customFormat="false" ht="27.75" hidden="false" customHeight="true" outlineLevel="0" collapsed="false">
      <c r="A152" s="2" t="s">
        <v>458</v>
      </c>
      <c r="B152" s="3" t="s">
        <v>472</v>
      </c>
      <c r="C152" s="2" t="s">
        <v>473</v>
      </c>
      <c r="D152" s="3" t="s">
        <v>478</v>
      </c>
      <c r="E152" s="2" t="s">
        <v>479</v>
      </c>
      <c r="F152" s="3" t="s">
        <v>81</v>
      </c>
      <c r="G152" s="3"/>
      <c r="H152" s="3"/>
      <c r="I152" s="3"/>
      <c r="J152" s="4" t="s">
        <v>23</v>
      </c>
      <c r="K152" s="4"/>
      <c r="L152" s="4"/>
      <c r="M152" s="4"/>
      <c r="N152" s="4"/>
      <c r="O152" s="5"/>
    </row>
    <row r="153" customFormat="false" ht="27.75" hidden="false" customHeight="true" outlineLevel="0" collapsed="false">
      <c r="A153" s="2" t="s">
        <v>458</v>
      </c>
      <c r="B153" s="3" t="s">
        <v>472</v>
      </c>
      <c r="C153" s="2" t="s">
        <v>473</v>
      </c>
      <c r="D153" s="3" t="s">
        <v>480</v>
      </c>
      <c r="E153" s="2" t="s">
        <v>481</v>
      </c>
      <c r="F153" s="3" t="s">
        <v>81</v>
      </c>
      <c r="G153" s="3"/>
      <c r="H153" s="3"/>
      <c r="I153" s="3"/>
      <c r="J153" s="4" t="s">
        <v>23</v>
      </c>
      <c r="K153" s="4"/>
      <c r="L153" s="4"/>
      <c r="M153" s="4"/>
      <c r="N153" s="4"/>
      <c r="O153" s="5"/>
    </row>
    <row r="154" customFormat="false" ht="27.75" hidden="false" customHeight="true" outlineLevel="0" collapsed="false">
      <c r="A154" s="2" t="s">
        <v>458</v>
      </c>
      <c r="B154" s="3" t="s">
        <v>472</v>
      </c>
      <c r="C154" s="2" t="s">
        <v>473</v>
      </c>
      <c r="D154" s="3" t="s">
        <v>482</v>
      </c>
      <c r="E154" s="2" t="s">
        <v>483</v>
      </c>
      <c r="F154" s="3" t="s">
        <v>81</v>
      </c>
      <c r="G154" s="3"/>
      <c r="H154" s="3"/>
      <c r="I154" s="3"/>
      <c r="J154" s="4" t="s">
        <v>23</v>
      </c>
      <c r="K154" s="4"/>
      <c r="L154" s="4"/>
      <c r="M154" s="4"/>
      <c r="N154" s="4"/>
      <c r="O154" s="5"/>
    </row>
    <row r="155" customFormat="false" ht="27.75" hidden="false" customHeight="true" outlineLevel="0" collapsed="false">
      <c r="A155" s="2" t="s">
        <v>458</v>
      </c>
      <c r="B155" s="3" t="s">
        <v>472</v>
      </c>
      <c r="C155" s="2" t="s">
        <v>473</v>
      </c>
      <c r="D155" s="3" t="s">
        <v>484</v>
      </c>
      <c r="E155" s="2" t="s">
        <v>485</v>
      </c>
      <c r="F155" s="3" t="s">
        <v>81</v>
      </c>
      <c r="G155" s="3"/>
      <c r="H155" s="3"/>
      <c r="I155" s="3"/>
      <c r="J155" s="4" t="s">
        <v>23</v>
      </c>
      <c r="K155" s="4"/>
      <c r="L155" s="4"/>
      <c r="M155" s="4"/>
      <c r="N155" s="4"/>
      <c r="O155" s="5"/>
    </row>
    <row r="156" customFormat="false" ht="27.75" hidden="false" customHeight="true" outlineLevel="0" collapsed="false">
      <c r="A156" s="2" t="s">
        <v>458</v>
      </c>
      <c r="B156" s="3" t="s">
        <v>486</v>
      </c>
      <c r="C156" s="2" t="s">
        <v>487</v>
      </c>
      <c r="D156" s="3" t="s">
        <v>488</v>
      </c>
      <c r="E156" s="2" t="s">
        <v>489</v>
      </c>
      <c r="F156" s="3" t="s">
        <v>20</v>
      </c>
      <c r="G156" s="3" t="s">
        <v>39</v>
      </c>
      <c r="H156" s="3" t="s">
        <v>490</v>
      </c>
      <c r="I156" s="3"/>
      <c r="J156" s="4" t="s">
        <v>23</v>
      </c>
      <c r="K156" s="4"/>
      <c r="L156" s="4"/>
      <c r="M156" s="4"/>
      <c r="N156" s="4"/>
      <c r="O156" s="5"/>
    </row>
    <row r="157" customFormat="false" ht="27.75" hidden="false" customHeight="true" outlineLevel="0" collapsed="false">
      <c r="A157" s="2" t="s">
        <v>458</v>
      </c>
      <c r="B157" s="3" t="s">
        <v>486</v>
      </c>
      <c r="C157" s="2" t="s">
        <v>487</v>
      </c>
      <c r="D157" s="3" t="s">
        <v>491</v>
      </c>
      <c r="E157" s="2" t="s">
        <v>492</v>
      </c>
      <c r="F157" s="3" t="s">
        <v>20</v>
      </c>
      <c r="G157" s="3" t="s">
        <v>39</v>
      </c>
      <c r="H157" s="3" t="s">
        <v>493</v>
      </c>
      <c r="I157" s="3"/>
      <c r="J157" s="4" t="s">
        <v>23</v>
      </c>
      <c r="K157" s="4"/>
      <c r="L157" s="4"/>
      <c r="M157" s="4"/>
      <c r="N157" s="4"/>
      <c r="O157" s="5"/>
    </row>
    <row r="158" customFormat="false" ht="27.75" hidden="false" customHeight="true" outlineLevel="0" collapsed="false">
      <c r="A158" s="2" t="s">
        <v>458</v>
      </c>
      <c r="B158" s="3" t="s">
        <v>486</v>
      </c>
      <c r="C158" s="2" t="s">
        <v>487</v>
      </c>
      <c r="D158" s="3" t="s">
        <v>494</v>
      </c>
      <c r="E158" s="2" t="s">
        <v>495</v>
      </c>
      <c r="F158" s="3" t="s">
        <v>81</v>
      </c>
      <c r="G158" s="3"/>
      <c r="H158" s="3"/>
      <c r="I158" s="3"/>
      <c r="J158" s="4" t="s">
        <v>23</v>
      </c>
      <c r="K158" s="4"/>
      <c r="L158" s="4"/>
      <c r="M158" s="4"/>
      <c r="N158" s="4"/>
      <c r="O158" s="5"/>
    </row>
    <row r="159" customFormat="false" ht="27.75" hidden="false" customHeight="true" outlineLevel="0" collapsed="false">
      <c r="A159" s="2" t="s">
        <v>458</v>
      </c>
      <c r="B159" s="3" t="s">
        <v>486</v>
      </c>
      <c r="C159" s="2" t="s">
        <v>487</v>
      </c>
      <c r="D159" s="3" t="s">
        <v>496</v>
      </c>
      <c r="E159" s="2" t="s">
        <v>497</v>
      </c>
      <c r="F159" s="3" t="s">
        <v>81</v>
      </c>
      <c r="G159" s="3"/>
      <c r="H159" s="3"/>
      <c r="I159" s="3"/>
      <c r="J159" s="4" t="s">
        <v>23</v>
      </c>
      <c r="K159" s="4"/>
      <c r="L159" s="4"/>
      <c r="M159" s="4"/>
      <c r="N159" s="4"/>
      <c r="O159" s="5"/>
    </row>
    <row r="160" customFormat="false" ht="27.75" hidden="false" customHeight="true" outlineLevel="0" collapsed="false">
      <c r="A160" s="2" t="s">
        <v>458</v>
      </c>
      <c r="B160" s="3" t="s">
        <v>486</v>
      </c>
      <c r="C160" s="2" t="s">
        <v>487</v>
      </c>
      <c r="D160" s="3" t="s">
        <v>498</v>
      </c>
      <c r="E160" s="2" t="s">
        <v>499</v>
      </c>
      <c r="F160" s="3" t="s">
        <v>20</v>
      </c>
      <c r="G160" s="3" t="s">
        <v>21</v>
      </c>
      <c r="H160" s="3" t="s">
        <v>500</v>
      </c>
      <c r="I160" s="3"/>
      <c r="J160" s="4" t="s">
        <v>23</v>
      </c>
      <c r="K160" s="4"/>
      <c r="L160" s="4"/>
      <c r="M160" s="4"/>
      <c r="N160" s="4"/>
      <c r="O160" s="5"/>
    </row>
    <row r="161" customFormat="false" ht="27.75" hidden="false" customHeight="true" outlineLevel="0" collapsed="false">
      <c r="A161" s="2" t="s">
        <v>458</v>
      </c>
      <c r="B161" s="3" t="s">
        <v>501</v>
      </c>
      <c r="C161" s="2" t="s">
        <v>502</v>
      </c>
      <c r="D161" s="3" t="s">
        <v>503</v>
      </c>
      <c r="E161" s="2" t="s">
        <v>504</v>
      </c>
      <c r="F161" s="3" t="s">
        <v>20</v>
      </c>
      <c r="G161" s="3"/>
      <c r="H161" s="3" t="s">
        <v>505</v>
      </c>
      <c r="I161" s="3"/>
      <c r="J161" s="4" t="s">
        <v>23</v>
      </c>
      <c r="K161" s="4"/>
      <c r="L161" s="4"/>
      <c r="M161" s="4"/>
      <c r="N161" s="4"/>
      <c r="O161" s="5"/>
    </row>
    <row r="162" customFormat="false" ht="27.75" hidden="false" customHeight="true" outlineLevel="0" collapsed="false">
      <c r="A162" s="2" t="s">
        <v>458</v>
      </c>
      <c r="B162" s="3" t="s">
        <v>501</v>
      </c>
      <c r="C162" s="2" t="s">
        <v>502</v>
      </c>
      <c r="D162" s="3" t="s">
        <v>506</v>
      </c>
      <c r="E162" s="2" t="s">
        <v>507</v>
      </c>
      <c r="F162" s="3" t="s">
        <v>20</v>
      </c>
      <c r="G162" s="3"/>
      <c r="H162" s="3" t="s">
        <v>508</v>
      </c>
      <c r="I162" s="3"/>
      <c r="J162" s="4" t="s">
        <v>23</v>
      </c>
      <c r="K162" s="4"/>
      <c r="L162" s="4"/>
      <c r="M162" s="4"/>
      <c r="N162" s="4"/>
      <c r="O162" s="5"/>
    </row>
    <row r="163" customFormat="false" ht="27.75" hidden="false" customHeight="true" outlineLevel="0" collapsed="false">
      <c r="A163" s="2" t="s">
        <v>458</v>
      </c>
      <c r="B163" s="3" t="s">
        <v>501</v>
      </c>
      <c r="C163" s="2" t="s">
        <v>502</v>
      </c>
      <c r="D163" s="3" t="s">
        <v>509</v>
      </c>
      <c r="E163" s="2" t="s">
        <v>510</v>
      </c>
      <c r="F163" s="3" t="s">
        <v>81</v>
      </c>
      <c r="G163" s="3"/>
      <c r="H163" s="3"/>
      <c r="I163" s="3"/>
      <c r="J163" s="4" t="s">
        <v>23</v>
      </c>
      <c r="K163" s="4"/>
      <c r="L163" s="4"/>
      <c r="M163" s="4"/>
      <c r="N163" s="4"/>
      <c r="O163" s="5"/>
    </row>
    <row r="164" customFormat="false" ht="27.75" hidden="false" customHeight="true" outlineLevel="0" collapsed="false">
      <c r="A164" s="2" t="s">
        <v>458</v>
      </c>
      <c r="B164" s="3" t="s">
        <v>501</v>
      </c>
      <c r="C164" s="2" t="s">
        <v>502</v>
      </c>
      <c r="D164" s="3" t="s">
        <v>511</v>
      </c>
      <c r="E164" s="2" t="s">
        <v>512</v>
      </c>
      <c r="F164" s="3" t="s">
        <v>20</v>
      </c>
      <c r="G164" s="3" t="s">
        <v>39</v>
      </c>
      <c r="H164" s="3" t="s">
        <v>513</v>
      </c>
      <c r="I164" s="3"/>
      <c r="J164" s="4" t="s">
        <v>23</v>
      </c>
      <c r="K164" s="4"/>
      <c r="L164" s="4"/>
      <c r="M164" s="4"/>
      <c r="N164" s="4"/>
      <c r="O164" s="5"/>
    </row>
    <row r="165" customFormat="false" ht="27.75" hidden="false" customHeight="true" outlineLevel="0" collapsed="false">
      <c r="A165" s="2" t="s">
        <v>458</v>
      </c>
      <c r="B165" s="3" t="s">
        <v>501</v>
      </c>
      <c r="C165" s="2" t="s">
        <v>502</v>
      </c>
      <c r="D165" s="3" t="s">
        <v>514</v>
      </c>
      <c r="E165" s="2" t="s">
        <v>515</v>
      </c>
      <c r="F165" s="3" t="s">
        <v>20</v>
      </c>
      <c r="G165" s="3"/>
      <c r="H165" s="3" t="s">
        <v>516</v>
      </c>
      <c r="I165" s="3"/>
      <c r="J165" s="4" t="s">
        <v>23</v>
      </c>
      <c r="K165" s="4"/>
      <c r="L165" s="4"/>
      <c r="M165" s="4"/>
      <c r="N165" s="4"/>
      <c r="O165" s="5"/>
    </row>
    <row r="166" customFormat="false" ht="27.75" hidden="false" customHeight="true" outlineLevel="0" collapsed="false">
      <c r="A166" s="2" t="s">
        <v>458</v>
      </c>
      <c r="B166" s="3" t="s">
        <v>517</v>
      </c>
      <c r="C166" s="2" t="s">
        <v>518</v>
      </c>
      <c r="D166" s="3" t="s">
        <v>519</v>
      </c>
      <c r="E166" s="2" t="s">
        <v>520</v>
      </c>
      <c r="F166" s="3" t="s">
        <v>43</v>
      </c>
      <c r="G166" s="3"/>
      <c r="H166" s="3"/>
      <c r="I166" s="3"/>
      <c r="J166" s="4" t="s">
        <v>23</v>
      </c>
      <c r="K166" s="4"/>
      <c r="L166" s="4"/>
      <c r="M166" s="4"/>
      <c r="N166" s="4"/>
      <c r="O166" s="5"/>
    </row>
    <row r="167" customFormat="false" ht="27.75" hidden="false" customHeight="true" outlineLevel="0" collapsed="false">
      <c r="A167" s="2" t="s">
        <v>458</v>
      </c>
      <c r="B167" s="3" t="s">
        <v>517</v>
      </c>
      <c r="C167" s="2" t="s">
        <v>518</v>
      </c>
      <c r="D167" s="3" t="s">
        <v>521</v>
      </c>
      <c r="E167" s="2" t="s">
        <v>522</v>
      </c>
      <c r="F167" s="3" t="s">
        <v>43</v>
      </c>
      <c r="G167" s="3"/>
      <c r="H167" s="3"/>
      <c r="I167" s="3"/>
      <c r="J167" s="4" t="s">
        <v>23</v>
      </c>
      <c r="K167" s="4"/>
      <c r="L167" s="4"/>
      <c r="M167" s="4"/>
      <c r="N167" s="4"/>
      <c r="O167" s="5"/>
    </row>
    <row r="168" customFormat="false" ht="27.75" hidden="false" customHeight="true" outlineLevel="0" collapsed="false">
      <c r="A168" s="2" t="s">
        <v>458</v>
      </c>
      <c r="B168" s="3" t="s">
        <v>517</v>
      </c>
      <c r="C168" s="2" t="s">
        <v>518</v>
      </c>
      <c r="D168" s="3" t="s">
        <v>523</v>
      </c>
      <c r="E168" s="2" t="s">
        <v>524</v>
      </c>
      <c r="F168" s="3" t="s">
        <v>20</v>
      </c>
      <c r="G168" s="3" t="s">
        <v>39</v>
      </c>
      <c r="H168" s="3" t="s">
        <v>525</v>
      </c>
      <c r="I168" s="3"/>
      <c r="J168" s="4" t="s">
        <v>23</v>
      </c>
      <c r="K168" s="4"/>
      <c r="L168" s="4"/>
      <c r="M168" s="4"/>
      <c r="N168" s="4"/>
      <c r="O168" s="5"/>
    </row>
    <row r="169" customFormat="false" ht="27.75" hidden="false" customHeight="true" outlineLevel="0" collapsed="false">
      <c r="A169" s="2" t="s">
        <v>458</v>
      </c>
      <c r="B169" s="3" t="s">
        <v>517</v>
      </c>
      <c r="C169" s="2" t="s">
        <v>518</v>
      </c>
      <c r="D169" s="3" t="s">
        <v>526</v>
      </c>
      <c r="E169" s="2" t="s">
        <v>527</v>
      </c>
      <c r="F169" s="3" t="s">
        <v>43</v>
      </c>
      <c r="G169" s="3"/>
      <c r="H169" s="3"/>
      <c r="I169" s="3"/>
      <c r="J169" s="4" t="s">
        <v>23</v>
      </c>
      <c r="K169" s="4"/>
      <c r="L169" s="4"/>
      <c r="M169" s="4"/>
      <c r="N169" s="4"/>
      <c r="O169" s="5"/>
    </row>
    <row r="170" customFormat="false" ht="27.75" hidden="false" customHeight="true" outlineLevel="0" collapsed="false">
      <c r="A170" s="2" t="s">
        <v>458</v>
      </c>
      <c r="B170" s="3" t="s">
        <v>517</v>
      </c>
      <c r="C170" s="2" t="s">
        <v>518</v>
      </c>
      <c r="D170" s="3" t="s">
        <v>528</v>
      </c>
      <c r="E170" s="2" t="s">
        <v>529</v>
      </c>
      <c r="F170" s="3" t="s">
        <v>43</v>
      </c>
      <c r="G170" s="3"/>
      <c r="H170" s="3"/>
      <c r="I170" s="3"/>
      <c r="J170" s="4" t="s">
        <v>23</v>
      </c>
      <c r="K170" s="4"/>
      <c r="L170" s="4"/>
      <c r="M170" s="4"/>
      <c r="N170" s="4"/>
      <c r="O170" s="5"/>
    </row>
    <row r="171" customFormat="false" ht="27.75" hidden="false" customHeight="true" outlineLevel="0" collapsed="false">
      <c r="A171" s="2" t="s">
        <v>458</v>
      </c>
      <c r="B171" s="3" t="s">
        <v>517</v>
      </c>
      <c r="C171" s="2" t="s">
        <v>518</v>
      </c>
      <c r="D171" s="3" t="s">
        <v>530</v>
      </c>
      <c r="E171" s="2" t="s">
        <v>531</v>
      </c>
      <c r="F171" s="3" t="s">
        <v>43</v>
      </c>
      <c r="G171" s="3"/>
      <c r="H171" s="3"/>
      <c r="I171" s="3"/>
      <c r="J171" s="4" t="s">
        <v>23</v>
      </c>
      <c r="K171" s="4"/>
      <c r="L171" s="4"/>
      <c r="M171" s="4"/>
      <c r="N171" s="4"/>
      <c r="O171" s="5"/>
    </row>
    <row r="172" customFormat="false" ht="27.75" hidden="false" customHeight="true" outlineLevel="0" collapsed="false">
      <c r="A172" s="2" t="s">
        <v>532</v>
      </c>
      <c r="B172" s="3" t="s">
        <v>533</v>
      </c>
      <c r="C172" s="2" t="s">
        <v>534</v>
      </c>
      <c r="D172" s="3" t="s">
        <v>535</v>
      </c>
      <c r="E172" s="2" t="s">
        <v>536</v>
      </c>
      <c r="F172" s="3" t="s">
        <v>81</v>
      </c>
      <c r="G172" s="3"/>
      <c r="H172" s="3"/>
      <c r="I172" s="3"/>
      <c r="J172" s="4" t="s">
        <v>23</v>
      </c>
      <c r="K172" s="4"/>
      <c r="L172" s="4"/>
      <c r="M172" s="4"/>
      <c r="N172" s="4"/>
      <c r="O172" s="5"/>
    </row>
    <row r="173" customFormat="false" ht="27.75" hidden="false" customHeight="true" outlineLevel="0" collapsed="false">
      <c r="A173" s="2" t="s">
        <v>532</v>
      </c>
      <c r="B173" s="3" t="s">
        <v>533</v>
      </c>
      <c r="C173" s="2" t="s">
        <v>534</v>
      </c>
      <c r="D173" s="3" t="s">
        <v>537</v>
      </c>
      <c r="E173" s="2" t="s">
        <v>538</v>
      </c>
      <c r="F173" s="3" t="s">
        <v>20</v>
      </c>
      <c r="G173" s="3"/>
      <c r="H173" s="3" t="s">
        <v>539</v>
      </c>
      <c r="I173" s="3"/>
      <c r="J173" s="4" t="s">
        <v>23</v>
      </c>
      <c r="K173" s="4"/>
      <c r="L173" s="4"/>
      <c r="M173" s="4"/>
      <c r="N173" s="4"/>
      <c r="O173" s="5"/>
    </row>
    <row r="174" customFormat="false" ht="27.75" hidden="false" customHeight="true" outlineLevel="0" collapsed="false">
      <c r="A174" s="2" t="s">
        <v>532</v>
      </c>
      <c r="B174" s="3" t="s">
        <v>533</v>
      </c>
      <c r="C174" s="2" t="s">
        <v>534</v>
      </c>
      <c r="D174" s="3" t="s">
        <v>540</v>
      </c>
      <c r="E174" s="2" t="s">
        <v>541</v>
      </c>
      <c r="F174" s="3" t="s">
        <v>81</v>
      </c>
      <c r="G174" s="3"/>
      <c r="H174" s="3"/>
      <c r="I174" s="3"/>
      <c r="J174" s="4" t="s">
        <v>23</v>
      </c>
      <c r="K174" s="4"/>
      <c r="L174" s="4"/>
      <c r="M174" s="4"/>
      <c r="N174" s="4"/>
      <c r="O174" s="5"/>
    </row>
    <row r="175" customFormat="false" ht="27.75" hidden="false" customHeight="true" outlineLevel="0" collapsed="false">
      <c r="A175" s="2" t="s">
        <v>532</v>
      </c>
      <c r="B175" s="3" t="s">
        <v>533</v>
      </c>
      <c r="C175" s="2" t="s">
        <v>534</v>
      </c>
      <c r="D175" s="3" t="s">
        <v>542</v>
      </c>
      <c r="E175" s="2" t="s">
        <v>543</v>
      </c>
      <c r="F175" s="3" t="s">
        <v>81</v>
      </c>
      <c r="G175" s="3"/>
      <c r="H175" s="3"/>
      <c r="I175" s="3"/>
      <c r="J175" s="4" t="s">
        <v>23</v>
      </c>
      <c r="K175" s="4"/>
      <c r="L175" s="4"/>
      <c r="M175" s="4"/>
      <c r="N175" s="4"/>
      <c r="O175" s="5"/>
    </row>
    <row r="176" customFormat="false" ht="27.75" hidden="false" customHeight="true" outlineLevel="0" collapsed="false">
      <c r="A176" s="2" t="s">
        <v>532</v>
      </c>
      <c r="B176" s="3" t="s">
        <v>533</v>
      </c>
      <c r="C176" s="2" t="s">
        <v>534</v>
      </c>
      <c r="D176" s="3" t="s">
        <v>544</v>
      </c>
      <c r="E176" s="2" t="s">
        <v>545</v>
      </c>
      <c r="F176" s="3" t="s">
        <v>81</v>
      </c>
      <c r="G176" s="3"/>
      <c r="H176" s="3"/>
      <c r="I176" s="3"/>
      <c r="J176" s="4" t="s">
        <v>23</v>
      </c>
      <c r="K176" s="4"/>
      <c r="L176" s="4"/>
      <c r="M176" s="4"/>
      <c r="N176" s="4"/>
      <c r="O176" s="5"/>
    </row>
    <row r="177" customFormat="false" ht="27.75" hidden="false" customHeight="true" outlineLevel="0" collapsed="false">
      <c r="A177" s="2" t="s">
        <v>532</v>
      </c>
      <c r="B177" s="3" t="s">
        <v>546</v>
      </c>
      <c r="C177" s="2" t="s">
        <v>547</v>
      </c>
      <c r="D177" s="3" t="s">
        <v>548</v>
      </c>
      <c r="E177" s="2" t="s">
        <v>549</v>
      </c>
      <c r="F177" s="3" t="s">
        <v>81</v>
      </c>
      <c r="G177" s="3"/>
      <c r="H177" s="3"/>
      <c r="I177" s="3"/>
      <c r="J177" s="4" t="s">
        <v>23</v>
      </c>
      <c r="K177" s="4"/>
      <c r="L177" s="4"/>
      <c r="M177" s="4"/>
      <c r="N177" s="4"/>
      <c r="O177" s="5"/>
    </row>
    <row r="178" customFormat="false" ht="27.75" hidden="false" customHeight="true" outlineLevel="0" collapsed="false">
      <c r="A178" s="2" t="s">
        <v>532</v>
      </c>
      <c r="B178" s="3" t="s">
        <v>546</v>
      </c>
      <c r="C178" s="2" t="s">
        <v>547</v>
      </c>
      <c r="D178" s="3" t="s">
        <v>550</v>
      </c>
      <c r="E178" s="2" t="s">
        <v>551</v>
      </c>
      <c r="F178" s="3" t="s">
        <v>20</v>
      </c>
      <c r="G178" s="3" t="s">
        <v>21</v>
      </c>
      <c r="H178" s="3" t="s">
        <v>552</v>
      </c>
      <c r="I178" s="3"/>
      <c r="J178" s="4" t="s">
        <v>23</v>
      </c>
      <c r="K178" s="4"/>
      <c r="L178" s="4"/>
      <c r="M178" s="4"/>
      <c r="N178" s="4"/>
      <c r="O178" s="5"/>
    </row>
    <row r="179" customFormat="false" ht="27.75" hidden="false" customHeight="true" outlineLevel="0" collapsed="false">
      <c r="A179" s="2" t="s">
        <v>532</v>
      </c>
      <c r="B179" s="3" t="s">
        <v>546</v>
      </c>
      <c r="C179" s="2" t="s">
        <v>547</v>
      </c>
      <c r="D179" s="3" t="s">
        <v>553</v>
      </c>
      <c r="E179" s="2" t="s">
        <v>554</v>
      </c>
      <c r="F179" s="3" t="s">
        <v>81</v>
      </c>
      <c r="G179" s="3"/>
      <c r="H179" s="3"/>
      <c r="I179" s="3"/>
      <c r="J179" s="4" t="s">
        <v>23</v>
      </c>
      <c r="K179" s="4"/>
      <c r="L179" s="4"/>
      <c r="M179" s="4"/>
      <c r="N179" s="4"/>
      <c r="O179" s="5"/>
    </row>
    <row r="180" customFormat="false" ht="27.75" hidden="false" customHeight="true" outlineLevel="0" collapsed="false">
      <c r="A180" s="2" t="s">
        <v>532</v>
      </c>
      <c r="B180" s="3" t="s">
        <v>546</v>
      </c>
      <c r="C180" s="2" t="s">
        <v>547</v>
      </c>
      <c r="D180" s="3" t="s">
        <v>555</v>
      </c>
      <c r="E180" s="2" t="s">
        <v>556</v>
      </c>
      <c r="F180" s="3" t="s">
        <v>81</v>
      </c>
      <c r="G180" s="3"/>
      <c r="H180" s="3"/>
      <c r="I180" s="3"/>
      <c r="J180" s="4" t="s">
        <v>23</v>
      </c>
      <c r="K180" s="4"/>
      <c r="L180" s="4"/>
      <c r="M180" s="4"/>
      <c r="N180" s="4"/>
      <c r="O180" s="5"/>
    </row>
    <row r="181" customFormat="false" ht="27.75" hidden="false" customHeight="true" outlineLevel="0" collapsed="false">
      <c r="A181" s="2" t="s">
        <v>532</v>
      </c>
      <c r="B181" s="3" t="s">
        <v>546</v>
      </c>
      <c r="C181" s="2" t="s">
        <v>547</v>
      </c>
      <c r="D181" s="3" t="s">
        <v>557</v>
      </c>
      <c r="E181" s="2" t="s">
        <v>558</v>
      </c>
      <c r="F181" s="3" t="s">
        <v>81</v>
      </c>
      <c r="G181" s="3"/>
      <c r="H181" s="3"/>
      <c r="I181" s="3"/>
      <c r="J181" s="4" t="s">
        <v>23</v>
      </c>
      <c r="K181" s="4"/>
      <c r="L181" s="4"/>
      <c r="M181" s="4"/>
      <c r="N181" s="4"/>
      <c r="O181" s="5"/>
    </row>
    <row r="182" customFormat="false" ht="27.75" hidden="false" customHeight="true" outlineLevel="0" collapsed="false">
      <c r="A182" s="2" t="s">
        <v>532</v>
      </c>
      <c r="B182" s="3" t="s">
        <v>559</v>
      </c>
      <c r="C182" s="2" t="s">
        <v>560</v>
      </c>
      <c r="D182" s="3" t="s">
        <v>561</v>
      </c>
      <c r="E182" s="2" t="s">
        <v>562</v>
      </c>
      <c r="F182" s="3" t="s">
        <v>20</v>
      </c>
      <c r="G182" s="3" t="s">
        <v>39</v>
      </c>
      <c r="H182" s="3" t="s">
        <v>563</v>
      </c>
      <c r="I182" s="3"/>
      <c r="J182" s="4" t="s">
        <v>23</v>
      </c>
      <c r="K182" s="4"/>
      <c r="L182" s="4"/>
      <c r="M182" s="4"/>
      <c r="N182" s="4"/>
      <c r="O182" s="5"/>
    </row>
    <row r="183" customFormat="false" ht="27.75" hidden="false" customHeight="true" outlineLevel="0" collapsed="false">
      <c r="A183" s="2" t="s">
        <v>532</v>
      </c>
      <c r="B183" s="3" t="s">
        <v>559</v>
      </c>
      <c r="C183" s="2" t="s">
        <v>560</v>
      </c>
      <c r="D183" s="3" t="s">
        <v>564</v>
      </c>
      <c r="E183" s="2" t="s">
        <v>565</v>
      </c>
      <c r="F183" s="3" t="s">
        <v>20</v>
      </c>
      <c r="G183" s="3"/>
      <c r="H183" s="3" t="s">
        <v>566</v>
      </c>
      <c r="I183" s="3"/>
      <c r="J183" s="4" t="s">
        <v>23</v>
      </c>
      <c r="K183" s="4"/>
      <c r="L183" s="4"/>
      <c r="M183" s="4"/>
      <c r="N183" s="4"/>
      <c r="O183" s="5"/>
    </row>
    <row r="184" customFormat="false" ht="27.75" hidden="false" customHeight="true" outlineLevel="0" collapsed="false">
      <c r="A184" s="2" t="s">
        <v>532</v>
      </c>
      <c r="B184" s="3" t="s">
        <v>559</v>
      </c>
      <c r="C184" s="2" t="s">
        <v>560</v>
      </c>
      <c r="D184" s="3" t="s">
        <v>567</v>
      </c>
      <c r="E184" s="2" t="s">
        <v>568</v>
      </c>
      <c r="F184" s="3" t="s">
        <v>20</v>
      </c>
      <c r="G184" s="3" t="s">
        <v>39</v>
      </c>
      <c r="H184" s="3" t="s">
        <v>569</v>
      </c>
      <c r="I184" s="3"/>
      <c r="J184" s="4" t="s">
        <v>23</v>
      </c>
      <c r="K184" s="4"/>
      <c r="L184" s="4"/>
      <c r="M184" s="4"/>
      <c r="N184" s="4"/>
      <c r="O184" s="5"/>
    </row>
    <row r="185" customFormat="false" ht="27.75" hidden="false" customHeight="true" outlineLevel="0" collapsed="false">
      <c r="A185" s="2" t="s">
        <v>532</v>
      </c>
      <c r="B185" s="3" t="s">
        <v>559</v>
      </c>
      <c r="C185" s="2" t="s">
        <v>560</v>
      </c>
      <c r="D185" s="3" t="s">
        <v>570</v>
      </c>
      <c r="E185" s="2" t="s">
        <v>571</v>
      </c>
      <c r="F185" s="3" t="s">
        <v>43</v>
      </c>
      <c r="G185" s="3"/>
      <c r="H185" s="3"/>
      <c r="I185" s="3"/>
      <c r="J185" s="4" t="s">
        <v>23</v>
      </c>
      <c r="K185" s="4"/>
      <c r="L185" s="4"/>
      <c r="M185" s="4"/>
      <c r="N185" s="4"/>
      <c r="O185" s="5"/>
    </row>
    <row r="186" customFormat="false" ht="27.75" hidden="false" customHeight="true" outlineLevel="0" collapsed="false">
      <c r="A186" s="2" t="s">
        <v>532</v>
      </c>
      <c r="B186" s="3" t="s">
        <v>559</v>
      </c>
      <c r="C186" s="2" t="s">
        <v>560</v>
      </c>
      <c r="D186" s="3" t="s">
        <v>572</v>
      </c>
      <c r="E186" s="2" t="s">
        <v>573</v>
      </c>
      <c r="F186" s="3" t="s">
        <v>20</v>
      </c>
      <c r="G186" s="3"/>
      <c r="H186" s="3" t="s">
        <v>574</v>
      </c>
      <c r="I186" s="3"/>
      <c r="J186" s="4" t="s">
        <v>23</v>
      </c>
      <c r="K186" s="4"/>
      <c r="L186" s="4"/>
      <c r="M186" s="4"/>
      <c r="N186" s="4"/>
      <c r="O186" s="5"/>
    </row>
    <row r="187" customFormat="false" ht="27.75" hidden="false" customHeight="true" outlineLevel="0" collapsed="false">
      <c r="A187" s="2" t="s">
        <v>532</v>
      </c>
      <c r="B187" s="3" t="s">
        <v>559</v>
      </c>
      <c r="C187" s="2" t="s">
        <v>560</v>
      </c>
      <c r="D187" s="3" t="s">
        <v>575</v>
      </c>
      <c r="E187" s="2" t="s">
        <v>576</v>
      </c>
      <c r="F187" s="3" t="s">
        <v>35</v>
      </c>
      <c r="G187" s="3" t="s">
        <v>39</v>
      </c>
      <c r="H187" s="3" t="s">
        <v>577</v>
      </c>
      <c r="I187" s="3"/>
      <c r="J187" s="4" t="s">
        <v>23</v>
      </c>
      <c r="K187" s="4"/>
      <c r="L187" s="4"/>
      <c r="M187" s="4"/>
      <c r="N187" s="4"/>
      <c r="O187" s="5"/>
    </row>
    <row r="188" customFormat="false" ht="27.75" hidden="false" customHeight="true" outlineLevel="0" collapsed="false">
      <c r="A188" s="2" t="s">
        <v>532</v>
      </c>
      <c r="B188" s="3" t="s">
        <v>559</v>
      </c>
      <c r="C188" s="2" t="s">
        <v>560</v>
      </c>
      <c r="D188" s="3" t="s">
        <v>578</v>
      </c>
      <c r="E188" s="2" t="s">
        <v>579</v>
      </c>
      <c r="F188" s="3" t="s">
        <v>20</v>
      </c>
      <c r="G188" s="3" t="s">
        <v>39</v>
      </c>
      <c r="H188" s="3" t="s">
        <v>580</v>
      </c>
      <c r="I188" s="3"/>
      <c r="J188" s="4" t="s">
        <v>23</v>
      </c>
      <c r="K188" s="4"/>
      <c r="L188" s="4"/>
      <c r="M188" s="4"/>
      <c r="N188" s="4"/>
      <c r="O188" s="5"/>
    </row>
    <row r="189" customFormat="false" ht="27.75" hidden="false" customHeight="true" outlineLevel="0" collapsed="false">
      <c r="A189" s="2" t="s">
        <v>532</v>
      </c>
      <c r="B189" s="3" t="s">
        <v>581</v>
      </c>
      <c r="C189" s="2" t="s">
        <v>582</v>
      </c>
      <c r="D189" s="3" t="s">
        <v>583</v>
      </c>
      <c r="E189" s="2" t="s">
        <v>584</v>
      </c>
      <c r="F189" s="3" t="s">
        <v>20</v>
      </c>
      <c r="G189" s="3" t="s">
        <v>39</v>
      </c>
      <c r="H189" s="3" t="s">
        <v>585</v>
      </c>
      <c r="I189" s="3"/>
      <c r="J189" s="4" t="s">
        <v>23</v>
      </c>
      <c r="K189" s="4"/>
      <c r="L189" s="4"/>
      <c r="M189" s="4"/>
      <c r="N189" s="4"/>
      <c r="O189" s="5"/>
    </row>
    <row r="190" customFormat="false" ht="27.75" hidden="false" customHeight="true" outlineLevel="0" collapsed="false">
      <c r="A190" s="2" t="s">
        <v>532</v>
      </c>
      <c r="B190" s="3" t="s">
        <v>581</v>
      </c>
      <c r="C190" s="2" t="s">
        <v>582</v>
      </c>
      <c r="D190" s="3" t="s">
        <v>586</v>
      </c>
      <c r="E190" s="2" t="s">
        <v>587</v>
      </c>
      <c r="F190" s="3" t="s">
        <v>81</v>
      </c>
      <c r="G190" s="3"/>
      <c r="H190" s="3"/>
      <c r="I190" s="3"/>
      <c r="J190" s="4" t="s">
        <v>23</v>
      </c>
      <c r="K190" s="4"/>
      <c r="L190" s="4"/>
      <c r="M190" s="4"/>
      <c r="N190" s="4"/>
      <c r="O190" s="5"/>
    </row>
    <row r="191" customFormat="false" ht="27.75" hidden="false" customHeight="true" outlineLevel="0" collapsed="false">
      <c r="A191" s="2" t="s">
        <v>532</v>
      </c>
      <c r="B191" s="3" t="s">
        <v>581</v>
      </c>
      <c r="C191" s="2" t="s">
        <v>582</v>
      </c>
      <c r="D191" s="3" t="s">
        <v>588</v>
      </c>
      <c r="E191" s="2" t="s">
        <v>589</v>
      </c>
      <c r="F191" s="3" t="s">
        <v>81</v>
      </c>
      <c r="G191" s="3"/>
      <c r="H191" s="3"/>
      <c r="I191" s="3"/>
      <c r="J191" s="4" t="s">
        <v>23</v>
      </c>
      <c r="K191" s="4"/>
      <c r="L191" s="4"/>
      <c r="M191" s="4"/>
      <c r="N191" s="4"/>
      <c r="O191" s="5"/>
    </row>
    <row r="192" customFormat="false" ht="27.75" hidden="false" customHeight="true" outlineLevel="0" collapsed="false">
      <c r="A192" s="2" t="s">
        <v>532</v>
      </c>
      <c r="B192" s="3" t="s">
        <v>581</v>
      </c>
      <c r="C192" s="2" t="s">
        <v>582</v>
      </c>
      <c r="D192" s="3" t="s">
        <v>590</v>
      </c>
      <c r="E192" s="2" t="s">
        <v>591</v>
      </c>
      <c r="F192" s="3" t="s">
        <v>20</v>
      </c>
      <c r="G192" s="3"/>
      <c r="H192" s="3" t="s">
        <v>592</v>
      </c>
      <c r="I192" s="3"/>
      <c r="J192" s="4" t="s">
        <v>23</v>
      </c>
      <c r="K192" s="4"/>
      <c r="L192" s="4"/>
      <c r="M192" s="4"/>
      <c r="N192" s="4"/>
      <c r="O192" s="5"/>
    </row>
    <row r="193" customFormat="false" ht="27.75" hidden="false" customHeight="true" outlineLevel="0" collapsed="false">
      <c r="A193" s="2" t="s">
        <v>532</v>
      </c>
      <c r="B193" s="3" t="s">
        <v>581</v>
      </c>
      <c r="C193" s="2" t="s">
        <v>582</v>
      </c>
      <c r="D193" s="3" t="s">
        <v>593</v>
      </c>
      <c r="E193" s="2" t="s">
        <v>594</v>
      </c>
      <c r="F193" s="3" t="s">
        <v>20</v>
      </c>
      <c r="G193" s="3" t="s">
        <v>39</v>
      </c>
      <c r="H193" s="3" t="s">
        <v>595</v>
      </c>
      <c r="I193" s="3"/>
      <c r="J193" s="4" t="s">
        <v>23</v>
      </c>
      <c r="K193" s="4"/>
      <c r="L193" s="4"/>
      <c r="M193" s="4"/>
      <c r="N193" s="4"/>
      <c r="O193" s="5"/>
    </row>
    <row r="194" customFormat="false" ht="27.75" hidden="false" customHeight="true" outlineLevel="0" collapsed="false">
      <c r="A194" s="2" t="s">
        <v>532</v>
      </c>
      <c r="B194" s="3" t="s">
        <v>581</v>
      </c>
      <c r="C194" s="2" t="s">
        <v>582</v>
      </c>
      <c r="D194" s="3" t="s">
        <v>596</v>
      </c>
      <c r="E194" s="2" t="s">
        <v>597</v>
      </c>
      <c r="F194" s="3" t="s">
        <v>81</v>
      </c>
      <c r="G194" s="3"/>
      <c r="H194" s="3"/>
      <c r="I194" s="3"/>
      <c r="J194" s="4" t="s">
        <v>23</v>
      </c>
      <c r="K194" s="4"/>
      <c r="L194" s="4"/>
      <c r="M194" s="4"/>
      <c r="N194" s="4"/>
      <c r="O194" s="5"/>
    </row>
    <row r="195" customFormat="false" ht="27.75" hidden="false" customHeight="true" outlineLevel="0" collapsed="false">
      <c r="A195" s="2" t="s">
        <v>598</v>
      </c>
      <c r="B195" s="3" t="s">
        <v>599</v>
      </c>
      <c r="C195" s="2" t="s">
        <v>600</v>
      </c>
      <c r="D195" s="3" t="s">
        <v>601</v>
      </c>
      <c r="E195" s="2" t="s">
        <v>602</v>
      </c>
      <c r="F195" s="3" t="s">
        <v>81</v>
      </c>
      <c r="G195" s="3"/>
      <c r="H195" s="3"/>
      <c r="I195" s="3"/>
      <c r="J195" s="4" t="s">
        <v>23</v>
      </c>
      <c r="K195" s="4"/>
      <c r="L195" s="4"/>
      <c r="M195" s="4"/>
      <c r="N195" s="4"/>
      <c r="O195" s="5"/>
    </row>
    <row r="196" customFormat="false" ht="27.75" hidden="false" customHeight="true" outlineLevel="0" collapsed="false">
      <c r="A196" s="2" t="s">
        <v>598</v>
      </c>
      <c r="B196" s="3" t="s">
        <v>599</v>
      </c>
      <c r="C196" s="2" t="s">
        <v>600</v>
      </c>
      <c r="D196" s="3" t="s">
        <v>603</v>
      </c>
      <c r="E196" s="2" t="s">
        <v>604</v>
      </c>
      <c r="F196" s="3" t="s">
        <v>81</v>
      </c>
      <c r="G196" s="3"/>
      <c r="H196" s="3"/>
      <c r="I196" s="3"/>
      <c r="J196" s="4" t="s">
        <v>23</v>
      </c>
      <c r="K196" s="4"/>
      <c r="L196" s="4"/>
      <c r="M196" s="4"/>
      <c r="N196" s="4"/>
      <c r="O196" s="5"/>
    </row>
    <row r="197" customFormat="false" ht="27.75" hidden="false" customHeight="true" outlineLevel="0" collapsed="false">
      <c r="A197" s="2" t="s">
        <v>598</v>
      </c>
      <c r="B197" s="3" t="s">
        <v>599</v>
      </c>
      <c r="C197" s="2" t="s">
        <v>600</v>
      </c>
      <c r="D197" s="3" t="s">
        <v>605</v>
      </c>
      <c r="E197" s="2" t="s">
        <v>606</v>
      </c>
      <c r="F197" s="3" t="s">
        <v>81</v>
      </c>
      <c r="G197" s="3"/>
      <c r="H197" s="3"/>
      <c r="I197" s="3"/>
      <c r="J197" s="4" t="s">
        <v>23</v>
      </c>
      <c r="K197" s="4"/>
      <c r="L197" s="4"/>
      <c r="M197" s="4"/>
      <c r="N197" s="4"/>
      <c r="O197" s="5"/>
    </row>
    <row r="198" customFormat="false" ht="27.75" hidden="false" customHeight="true" outlineLevel="0" collapsed="false">
      <c r="A198" s="2" t="s">
        <v>598</v>
      </c>
      <c r="B198" s="3" t="s">
        <v>599</v>
      </c>
      <c r="C198" s="2" t="s">
        <v>600</v>
      </c>
      <c r="D198" s="3" t="s">
        <v>607</v>
      </c>
      <c r="E198" s="2" t="s">
        <v>608</v>
      </c>
      <c r="F198" s="3" t="s">
        <v>20</v>
      </c>
      <c r="G198" s="3" t="s">
        <v>21</v>
      </c>
      <c r="H198" s="3" t="s">
        <v>609</v>
      </c>
      <c r="I198" s="3"/>
      <c r="J198" s="4" t="s">
        <v>23</v>
      </c>
      <c r="K198" s="4"/>
      <c r="L198" s="4"/>
      <c r="M198" s="4"/>
      <c r="N198" s="4"/>
      <c r="O198" s="5"/>
    </row>
    <row r="199" customFormat="false" ht="27.75" hidden="false" customHeight="true" outlineLevel="0" collapsed="false">
      <c r="A199" s="2" t="s">
        <v>598</v>
      </c>
      <c r="B199" s="3" t="s">
        <v>599</v>
      </c>
      <c r="C199" s="2" t="s">
        <v>600</v>
      </c>
      <c r="D199" s="3" t="s">
        <v>610</v>
      </c>
      <c r="E199" s="2" t="s">
        <v>545</v>
      </c>
      <c r="F199" s="3" t="s">
        <v>81</v>
      </c>
      <c r="G199" s="3"/>
      <c r="H199" s="3"/>
      <c r="I199" s="3"/>
      <c r="J199" s="4" t="s">
        <v>23</v>
      </c>
      <c r="K199" s="4"/>
      <c r="L199" s="4"/>
      <c r="M199" s="4"/>
      <c r="N199" s="4"/>
      <c r="O199" s="5"/>
    </row>
    <row r="200" customFormat="false" ht="27.75" hidden="false" customHeight="true" outlineLevel="0" collapsed="false">
      <c r="A200" s="2" t="s">
        <v>598</v>
      </c>
      <c r="B200" s="3" t="s">
        <v>611</v>
      </c>
      <c r="C200" s="2" t="s">
        <v>612</v>
      </c>
      <c r="D200" s="3" t="s">
        <v>613</v>
      </c>
      <c r="E200" s="2" t="s">
        <v>614</v>
      </c>
      <c r="F200" s="3" t="s">
        <v>20</v>
      </c>
      <c r="G200" s="3" t="s">
        <v>21</v>
      </c>
      <c r="H200" s="3" t="s">
        <v>615</v>
      </c>
      <c r="I200" s="3"/>
      <c r="J200" s="4" t="s">
        <v>23</v>
      </c>
      <c r="K200" s="4"/>
      <c r="L200" s="4"/>
      <c r="M200" s="4"/>
      <c r="N200" s="4"/>
      <c r="O200" s="5"/>
    </row>
    <row r="201" customFormat="false" ht="27.75" hidden="false" customHeight="true" outlineLevel="0" collapsed="false">
      <c r="A201" s="2" t="s">
        <v>598</v>
      </c>
      <c r="B201" s="3" t="s">
        <v>611</v>
      </c>
      <c r="C201" s="2" t="s">
        <v>612</v>
      </c>
      <c r="D201" s="3" t="s">
        <v>616</v>
      </c>
      <c r="E201" s="2" t="s">
        <v>617</v>
      </c>
      <c r="F201" s="3" t="s">
        <v>20</v>
      </c>
      <c r="G201" s="3" t="s">
        <v>39</v>
      </c>
      <c r="H201" s="3" t="s">
        <v>618</v>
      </c>
      <c r="I201" s="3"/>
      <c r="J201" s="4" t="s">
        <v>23</v>
      </c>
      <c r="K201" s="4"/>
      <c r="L201" s="4"/>
      <c r="M201" s="4"/>
      <c r="N201" s="4"/>
      <c r="O201" s="5"/>
    </row>
    <row r="202" customFormat="false" ht="27.75" hidden="false" customHeight="true" outlineLevel="0" collapsed="false">
      <c r="A202" s="2" t="s">
        <v>598</v>
      </c>
      <c r="B202" s="3" t="s">
        <v>611</v>
      </c>
      <c r="C202" s="2" t="s">
        <v>612</v>
      </c>
      <c r="D202" s="3" t="s">
        <v>619</v>
      </c>
      <c r="E202" s="2" t="s">
        <v>620</v>
      </c>
      <c r="F202" s="3" t="s">
        <v>20</v>
      </c>
      <c r="G202" s="3" t="s">
        <v>21</v>
      </c>
      <c r="H202" s="3" t="s">
        <v>621</v>
      </c>
      <c r="I202" s="3" t="s">
        <v>116</v>
      </c>
      <c r="J202" s="4" t="s">
        <v>23</v>
      </c>
      <c r="K202" s="4"/>
      <c r="L202" s="4"/>
      <c r="M202" s="4"/>
      <c r="N202" s="4"/>
      <c r="O202" s="5"/>
    </row>
    <row r="203" customFormat="false" ht="27.75" hidden="false" customHeight="true" outlineLevel="0" collapsed="false">
      <c r="A203" s="2" t="s">
        <v>598</v>
      </c>
      <c r="B203" s="3" t="s">
        <v>611</v>
      </c>
      <c r="C203" s="2" t="s">
        <v>612</v>
      </c>
      <c r="D203" s="3" t="s">
        <v>622</v>
      </c>
      <c r="E203" s="2" t="s">
        <v>623</v>
      </c>
      <c r="F203" s="3" t="s">
        <v>20</v>
      </c>
      <c r="G203" s="3" t="s">
        <v>21</v>
      </c>
      <c r="H203" s="3" t="s">
        <v>624</v>
      </c>
      <c r="I203" s="3"/>
      <c r="J203" s="4" t="s">
        <v>23</v>
      </c>
      <c r="K203" s="4"/>
      <c r="L203" s="4"/>
      <c r="M203" s="4"/>
      <c r="N203" s="4"/>
      <c r="O203" s="5"/>
    </row>
    <row r="204" customFormat="false" ht="27.75" hidden="false" customHeight="true" outlineLevel="0" collapsed="false">
      <c r="A204" s="2" t="s">
        <v>598</v>
      </c>
      <c r="B204" s="3" t="s">
        <v>611</v>
      </c>
      <c r="C204" s="2" t="s">
        <v>612</v>
      </c>
      <c r="D204" s="3" t="s">
        <v>625</v>
      </c>
      <c r="E204" s="2" t="s">
        <v>626</v>
      </c>
      <c r="F204" s="3" t="s">
        <v>20</v>
      </c>
      <c r="G204" s="3" t="s">
        <v>21</v>
      </c>
      <c r="H204" s="3" t="s">
        <v>627</v>
      </c>
      <c r="I204" s="3"/>
      <c r="J204" s="4" t="s">
        <v>23</v>
      </c>
      <c r="K204" s="4"/>
      <c r="L204" s="4"/>
      <c r="M204" s="4"/>
      <c r="N204" s="4"/>
      <c r="O204" s="5"/>
    </row>
    <row r="205" customFormat="false" ht="27.75" hidden="false" customHeight="true" outlineLevel="0" collapsed="false">
      <c r="A205" s="2" t="s">
        <v>598</v>
      </c>
      <c r="B205" s="3" t="s">
        <v>611</v>
      </c>
      <c r="C205" s="2" t="s">
        <v>612</v>
      </c>
      <c r="D205" s="3" t="s">
        <v>628</v>
      </c>
      <c r="E205" s="2" t="s">
        <v>629</v>
      </c>
      <c r="F205" s="3" t="s">
        <v>20</v>
      </c>
      <c r="G205" s="3" t="s">
        <v>21</v>
      </c>
      <c r="H205" s="3" t="s">
        <v>630</v>
      </c>
      <c r="I205" s="3"/>
      <c r="J205" s="4" t="s">
        <v>23</v>
      </c>
      <c r="K205" s="4"/>
      <c r="L205" s="4"/>
      <c r="M205" s="4"/>
      <c r="N205" s="4"/>
      <c r="O205" s="5"/>
    </row>
    <row r="206" customFormat="false" ht="27.75" hidden="false" customHeight="true" outlineLevel="0" collapsed="false">
      <c r="A206" s="2" t="s">
        <v>598</v>
      </c>
      <c r="B206" s="3" t="s">
        <v>611</v>
      </c>
      <c r="C206" s="2" t="s">
        <v>612</v>
      </c>
      <c r="D206" s="3" t="s">
        <v>631</v>
      </c>
      <c r="E206" s="2" t="s">
        <v>632</v>
      </c>
      <c r="F206" s="3" t="s">
        <v>35</v>
      </c>
      <c r="G206" s="3" t="s">
        <v>21</v>
      </c>
      <c r="H206" s="3" t="s">
        <v>633</v>
      </c>
      <c r="I206" s="3"/>
      <c r="J206" s="4" t="s">
        <v>23</v>
      </c>
      <c r="K206" s="4"/>
      <c r="L206" s="4"/>
      <c r="M206" s="4"/>
      <c r="N206" s="4"/>
      <c r="O206" s="5"/>
    </row>
    <row r="207" customFormat="false" ht="27.75" hidden="false" customHeight="true" outlineLevel="0" collapsed="false">
      <c r="A207" s="2" t="s">
        <v>598</v>
      </c>
      <c r="B207" s="3" t="s">
        <v>611</v>
      </c>
      <c r="C207" s="2" t="s">
        <v>612</v>
      </c>
      <c r="D207" s="3" t="s">
        <v>634</v>
      </c>
      <c r="E207" s="2" t="s">
        <v>635</v>
      </c>
      <c r="F207" s="3" t="s">
        <v>20</v>
      </c>
      <c r="G207" s="3" t="s">
        <v>39</v>
      </c>
      <c r="H207" s="3" t="s">
        <v>636</v>
      </c>
      <c r="I207" s="3"/>
      <c r="J207" s="4" t="s">
        <v>23</v>
      </c>
      <c r="K207" s="4"/>
      <c r="L207" s="4"/>
      <c r="M207" s="4"/>
      <c r="N207" s="4"/>
      <c r="O207" s="5"/>
    </row>
    <row r="208" customFormat="false" ht="27.75" hidden="false" customHeight="true" outlineLevel="0" collapsed="false">
      <c r="A208" s="2" t="s">
        <v>598</v>
      </c>
      <c r="B208" s="3" t="s">
        <v>611</v>
      </c>
      <c r="C208" s="2" t="s">
        <v>612</v>
      </c>
      <c r="D208" s="3" t="s">
        <v>637</v>
      </c>
      <c r="E208" s="2" t="s">
        <v>638</v>
      </c>
      <c r="F208" s="3" t="s">
        <v>20</v>
      </c>
      <c r="G208" s="3" t="s">
        <v>39</v>
      </c>
      <c r="H208" s="3" t="s">
        <v>639</v>
      </c>
      <c r="I208" s="3"/>
      <c r="J208" s="4" t="s">
        <v>23</v>
      </c>
      <c r="K208" s="4"/>
      <c r="L208" s="4"/>
      <c r="M208" s="4"/>
      <c r="N208" s="4"/>
      <c r="O208" s="5"/>
    </row>
    <row r="209" customFormat="false" ht="27.75" hidden="false" customHeight="true" outlineLevel="0" collapsed="false">
      <c r="A209" s="2" t="s">
        <v>598</v>
      </c>
      <c r="B209" s="3" t="s">
        <v>611</v>
      </c>
      <c r="C209" s="2" t="s">
        <v>612</v>
      </c>
      <c r="D209" s="3" t="s">
        <v>640</v>
      </c>
      <c r="E209" s="2" t="s">
        <v>641</v>
      </c>
      <c r="F209" s="3" t="s">
        <v>35</v>
      </c>
      <c r="G209" s="3" t="s">
        <v>39</v>
      </c>
      <c r="H209" s="3" t="s">
        <v>642</v>
      </c>
      <c r="I209" s="3"/>
      <c r="J209" s="4" t="s">
        <v>23</v>
      </c>
      <c r="K209" s="4"/>
      <c r="L209" s="4"/>
      <c r="M209" s="4"/>
      <c r="N209" s="4"/>
      <c r="O209" s="5"/>
    </row>
    <row r="210" customFormat="false" ht="27.75" hidden="false" customHeight="true" outlineLevel="0" collapsed="false">
      <c r="A210" s="2" t="s">
        <v>598</v>
      </c>
      <c r="B210" s="3" t="s">
        <v>611</v>
      </c>
      <c r="C210" s="2" t="s">
        <v>612</v>
      </c>
      <c r="D210" s="3" t="s">
        <v>643</v>
      </c>
      <c r="E210" s="2" t="s">
        <v>644</v>
      </c>
      <c r="F210" s="3" t="s">
        <v>20</v>
      </c>
      <c r="G210" s="3" t="s">
        <v>39</v>
      </c>
      <c r="H210" s="3" t="s">
        <v>645</v>
      </c>
      <c r="I210" s="3"/>
      <c r="J210" s="4" t="s">
        <v>23</v>
      </c>
      <c r="K210" s="4"/>
      <c r="L210" s="4"/>
      <c r="M210" s="4"/>
      <c r="N210" s="4"/>
      <c r="O210" s="5"/>
    </row>
    <row r="211" customFormat="false" ht="27.75" hidden="false" customHeight="true" outlineLevel="0" collapsed="false">
      <c r="A211" s="2" t="s">
        <v>598</v>
      </c>
      <c r="B211" s="3" t="s">
        <v>646</v>
      </c>
      <c r="C211" s="2" t="s">
        <v>647</v>
      </c>
      <c r="D211" s="3" t="s">
        <v>648</v>
      </c>
      <c r="E211" s="2" t="s">
        <v>649</v>
      </c>
      <c r="F211" s="3" t="s">
        <v>20</v>
      </c>
      <c r="G211" s="3"/>
      <c r="H211" s="3" t="s">
        <v>650</v>
      </c>
      <c r="I211" s="3"/>
      <c r="J211" s="4" t="s">
        <v>23</v>
      </c>
      <c r="K211" s="4"/>
      <c r="L211" s="4"/>
      <c r="M211" s="4"/>
      <c r="N211" s="4"/>
      <c r="O211" s="5"/>
    </row>
    <row r="212" customFormat="false" ht="27.75" hidden="false" customHeight="true" outlineLevel="0" collapsed="false">
      <c r="A212" s="2" t="s">
        <v>598</v>
      </c>
      <c r="B212" s="3" t="s">
        <v>646</v>
      </c>
      <c r="C212" s="2" t="s">
        <v>647</v>
      </c>
      <c r="D212" s="3" t="s">
        <v>651</v>
      </c>
      <c r="E212" s="2" t="s">
        <v>652</v>
      </c>
      <c r="F212" s="3" t="s">
        <v>81</v>
      </c>
      <c r="G212" s="3"/>
      <c r="H212" s="3"/>
      <c r="I212" s="3"/>
      <c r="J212" s="4" t="s">
        <v>23</v>
      </c>
      <c r="K212" s="4"/>
      <c r="L212" s="4"/>
      <c r="M212" s="4"/>
      <c r="N212" s="4"/>
      <c r="O212" s="5"/>
    </row>
    <row r="213" customFormat="false" ht="27.75" hidden="false" customHeight="true" outlineLevel="0" collapsed="false">
      <c r="A213" s="2" t="s">
        <v>598</v>
      </c>
      <c r="B213" s="3" t="s">
        <v>646</v>
      </c>
      <c r="C213" s="2" t="s">
        <v>647</v>
      </c>
      <c r="D213" s="3" t="s">
        <v>653</v>
      </c>
      <c r="E213" s="2" t="s">
        <v>654</v>
      </c>
      <c r="F213" s="3" t="s">
        <v>20</v>
      </c>
      <c r="G213" s="3" t="s">
        <v>21</v>
      </c>
      <c r="H213" s="3" t="s">
        <v>655</v>
      </c>
      <c r="I213" s="3"/>
      <c r="J213" s="4" t="s">
        <v>23</v>
      </c>
      <c r="K213" s="4"/>
      <c r="L213" s="4"/>
      <c r="M213" s="4"/>
      <c r="N213" s="4"/>
      <c r="O213" s="5"/>
    </row>
    <row r="214" customFormat="false" ht="27.75" hidden="false" customHeight="true" outlineLevel="0" collapsed="false">
      <c r="A214" s="2" t="s">
        <v>598</v>
      </c>
      <c r="B214" s="3" t="s">
        <v>646</v>
      </c>
      <c r="C214" s="2" t="s">
        <v>647</v>
      </c>
      <c r="D214" s="3" t="s">
        <v>656</v>
      </c>
      <c r="E214" s="2" t="s">
        <v>657</v>
      </c>
      <c r="F214" s="3" t="s">
        <v>20</v>
      </c>
      <c r="G214" s="3" t="s">
        <v>21</v>
      </c>
      <c r="H214" s="3" t="s">
        <v>658</v>
      </c>
      <c r="I214" s="3"/>
      <c r="J214" s="4" t="s">
        <v>23</v>
      </c>
      <c r="K214" s="4"/>
      <c r="L214" s="4"/>
      <c r="M214" s="4"/>
      <c r="N214" s="4"/>
      <c r="O214" s="5"/>
    </row>
    <row r="215" customFormat="false" ht="27.75" hidden="false" customHeight="true" outlineLevel="0" collapsed="false">
      <c r="A215" s="2" t="s">
        <v>598</v>
      </c>
      <c r="B215" s="3" t="s">
        <v>646</v>
      </c>
      <c r="C215" s="2" t="s">
        <v>647</v>
      </c>
      <c r="D215" s="3" t="s">
        <v>659</v>
      </c>
      <c r="E215" s="2" t="s">
        <v>660</v>
      </c>
      <c r="F215" s="3" t="s">
        <v>20</v>
      </c>
      <c r="G215" s="3" t="s">
        <v>21</v>
      </c>
      <c r="H215" s="3" t="s">
        <v>661</v>
      </c>
      <c r="I215" s="3"/>
      <c r="J215" s="4" t="s">
        <v>23</v>
      </c>
      <c r="K215" s="4"/>
      <c r="L215" s="4"/>
      <c r="M215" s="4"/>
      <c r="N215" s="4"/>
      <c r="O215" s="5"/>
    </row>
    <row r="216" customFormat="false" ht="27.75" hidden="false" customHeight="true" outlineLevel="0" collapsed="false">
      <c r="A216" s="2" t="s">
        <v>598</v>
      </c>
      <c r="B216" s="3" t="s">
        <v>646</v>
      </c>
      <c r="C216" s="2" t="s">
        <v>647</v>
      </c>
      <c r="D216" s="3" t="s">
        <v>662</v>
      </c>
      <c r="E216" s="2" t="s">
        <v>663</v>
      </c>
      <c r="F216" s="3" t="s">
        <v>20</v>
      </c>
      <c r="G216" s="3" t="s">
        <v>39</v>
      </c>
      <c r="H216" s="3" t="s">
        <v>664</v>
      </c>
      <c r="I216" s="3"/>
      <c r="J216" s="4" t="s">
        <v>23</v>
      </c>
      <c r="K216" s="4"/>
      <c r="L216" s="4"/>
      <c r="M216" s="4"/>
      <c r="N216" s="4"/>
      <c r="O216" s="5"/>
    </row>
    <row r="217" customFormat="false" ht="27.75" hidden="false" customHeight="true" outlineLevel="0" collapsed="false">
      <c r="A217" s="2" t="s">
        <v>665</v>
      </c>
      <c r="B217" s="3" t="s">
        <v>666</v>
      </c>
      <c r="C217" s="2" t="s">
        <v>667</v>
      </c>
      <c r="D217" s="3" t="s">
        <v>668</v>
      </c>
      <c r="E217" s="2" t="s">
        <v>669</v>
      </c>
      <c r="F217" s="3" t="s">
        <v>20</v>
      </c>
      <c r="G217" s="3" t="s">
        <v>39</v>
      </c>
      <c r="H217" s="3" t="s">
        <v>670</v>
      </c>
      <c r="I217" s="3"/>
      <c r="J217" s="4" t="s">
        <v>23</v>
      </c>
      <c r="K217" s="4"/>
      <c r="L217" s="4"/>
      <c r="M217" s="4"/>
      <c r="N217" s="4"/>
      <c r="O217" s="5"/>
    </row>
    <row r="218" customFormat="false" ht="27.75" hidden="false" customHeight="true" outlineLevel="0" collapsed="false">
      <c r="A218" s="2" t="s">
        <v>665</v>
      </c>
      <c r="B218" s="3" t="s">
        <v>666</v>
      </c>
      <c r="C218" s="2" t="s">
        <v>667</v>
      </c>
      <c r="D218" s="3" t="s">
        <v>671</v>
      </c>
      <c r="E218" s="2" t="s">
        <v>672</v>
      </c>
      <c r="F218" s="3" t="s">
        <v>20</v>
      </c>
      <c r="G218" s="3" t="s">
        <v>39</v>
      </c>
      <c r="H218" s="3" t="s">
        <v>673</v>
      </c>
      <c r="I218" s="3"/>
      <c r="J218" s="4" t="s">
        <v>23</v>
      </c>
      <c r="K218" s="4"/>
      <c r="L218" s="4"/>
      <c r="M218" s="4"/>
      <c r="N218" s="4"/>
      <c r="O218" s="5"/>
    </row>
    <row r="219" customFormat="false" ht="27.75" hidden="false" customHeight="true" outlineLevel="0" collapsed="false">
      <c r="A219" s="2" t="s">
        <v>665</v>
      </c>
      <c r="B219" s="3" t="s">
        <v>666</v>
      </c>
      <c r="C219" s="2" t="s">
        <v>667</v>
      </c>
      <c r="D219" s="3" t="s">
        <v>674</v>
      </c>
      <c r="E219" s="2" t="s">
        <v>675</v>
      </c>
      <c r="F219" s="3" t="s">
        <v>20</v>
      </c>
      <c r="G219" s="3"/>
      <c r="H219" s="3" t="s">
        <v>676</v>
      </c>
      <c r="I219" s="3"/>
      <c r="J219" s="4" t="s">
        <v>23</v>
      </c>
      <c r="K219" s="4"/>
      <c r="L219" s="4"/>
      <c r="M219" s="4"/>
      <c r="N219" s="4"/>
      <c r="O219" s="5"/>
    </row>
    <row r="220" customFormat="false" ht="27.75" hidden="false" customHeight="true" outlineLevel="0" collapsed="false">
      <c r="A220" s="2" t="s">
        <v>665</v>
      </c>
      <c r="B220" s="3" t="s">
        <v>666</v>
      </c>
      <c r="C220" s="2" t="s">
        <v>667</v>
      </c>
      <c r="D220" s="3" t="s">
        <v>677</v>
      </c>
      <c r="E220" s="2" t="s">
        <v>678</v>
      </c>
      <c r="F220" s="3" t="s">
        <v>20</v>
      </c>
      <c r="G220" s="3" t="s">
        <v>39</v>
      </c>
      <c r="H220" s="3" t="s">
        <v>679</v>
      </c>
      <c r="I220" s="3"/>
      <c r="J220" s="4" t="s">
        <v>23</v>
      </c>
      <c r="K220" s="4"/>
      <c r="L220" s="4"/>
      <c r="M220" s="4"/>
      <c r="N220" s="4"/>
      <c r="O220" s="5"/>
    </row>
    <row r="221" customFormat="false" ht="27.75" hidden="false" customHeight="true" outlineLevel="0" collapsed="false">
      <c r="A221" s="2" t="s">
        <v>665</v>
      </c>
      <c r="B221" s="3" t="s">
        <v>666</v>
      </c>
      <c r="C221" s="2" t="s">
        <v>667</v>
      </c>
      <c r="D221" s="3" t="s">
        <v>680</v>
      </c>
      <c r="E221" s="2" t="s">
        <v>681</v>
      </c>
      <c r="F221" s="3" t="s">
        <v>20</v>
      </c>
      <c r="G221" s="3" t="s">
        <v>39</v>
      </c>
      <c r="H221" s="3" t="s">
        <v>682</v>
      </c>
      <c r="I221" s="3"/>
      <c r="J221" s="4" t="s">
        <v>23</v>
      </c>
      <c r="K221" s="4"/>
      <c r="L221" s="4"/>
      <c r="M221" s="4"/>
      <c r="N221" s="4"/>
      <c r="O221" s="5"/>
    </row>
    <row r="222" customFormat="false" ht="27.75" hidden="false" customHeight="true" outlineLevel="0" collapsed="false">
      <c r="A222" s="2" t="s">
        <v>683</v>
      </c>
      <c r="B222" s="3" t="s">
        <v>684</v>
      </c>
      <c r="C222" s="2" t="s">
        <v>685</v>
      </c>
      <c r="D222" s="3" t="s">
        <v>686</v>
      </c>
      <c r="E222" s="2" t="s">
        <v>687</v>
      </c>
      <c r="F222" s="3" t="s">
        <v>43</v>
      </c>
      <c r="G222" s="3"/>
      <c r="H222" s="3"/>
      <c r="I222" s="3"/>
      <c r="J222" s="4" t="s">
        <v>23</v>
      </c>
      <c r="K222" s="4"/>
      <c r="L222" s="4"/>
      <c r="M222" s="4"/>
      <c r="N222" s="4"/>
      <c r="O222" s="5"/>
    </row>
    <row r="223" customFormat="false" ht="27.75" hidden="false" customHeight="true" outlineLevel="0" collapsed="false">
      <c r="A223" s="2" t="s">
        <v>683</v>
      </c>
      <c r="B223" s="3" t="s">
        <v>684</v>
      </c>
      <c r="C223" s="2" t="s">
        <v>685</v>
      </c>
      <c r="D223" s="3" t="s">
        <v>688</v>
      </c>
      <c r="E223" s="2" t="s">
        <v>689</v>
      </c>
      <c r="F223" s="3" t="s">
        <v>43</v>
      </c>
      <c r="G223" s="3"/>
      <c r="H223" s="3"/>
      <c r="I223" s="3"/>
      <c r="J223" s="4" t="s">
        <v>23</v>
      </c>
      <c r="K223" s="4"/>
      <c r="L223" s="4"/>
      <c r="M223" s="4"/>
      <c r="N223" s="4"/>
      <c r="O223" s="5"/>
    </row>
    <row r="224" customFormat="false" ht="27.75" hidden="false" customHeight="true" outlineLevel="0" collapsed="false">
      <c r="A224" s="2" t="s">
        <v>683</v>
      </c>
      <c r="B224" s="3" t="s">
        <v>684</v>
      </c>
      <c r="C224" s="2" t="s">
        <v>685</v>
      </c>
      <c r="D224" s="3" t="s">
        <v>690</v>
      </c>
      <c r="E224" s="2" t="s">
        <v>691</v>
      </c>
      <c r="F224" s="3" t="s">
        <v>35</v>
      </c>
      <c r="G224" s="3" t="s">
        <v>39</v>
      </c>
      <c r="H224" s="3" t="s">
        <v>692</v>
      </c>
      <c r="I224" s="3"/>
      <c r="J224" s="4" t="s">
        <v>23</v>
      </c>
      <c r="K224" s="4"/>
      <c r="L224" s="4"/>
      <c r="M224" s="4"/>
      <c r="N224" s="4"/>
      <c r="O224" s="5"/>
    </row>
    <row r="225" customFormat="false" ht="27.75" hidden="false" customHeight="true" outlineLevel="0" collapsed="false">
      <c r="A225" s="2" t="s">
        <v>683</v>
      </c>
      <c r="B225" s="3" t="s">
        <v>684</v>
      </c>
      <c r="C225" s="2" t="s">
        <v>685</v>
      </c>
      <c r="D225" s="3" t="s">
        <v>693</v>
      </c>
      <c r="E225" s="2" t="s">
        <v>694</v>
      </c>
      <c r="F225" s="3" t="s">
        <v>20</v>
      </c>
      <c r="G225" s="3"/>
      <c r="H225" s="3" t="s">
        <v>695</v>
      </c>
      <c r="I225" s="3"/>
      <c r="J225" s="4" t="s">
        <v>23</v>
      </c>
      <c r="K225" s="4"/>
      <c r="L225" s="4"/>
      <c r="M225" s="4"/>
      <c r="N225" s="4"/>
      <c r="O225" s="5"/>
    </row>
    <row r="226" customFormat="false" ht="27.75" hidden="false" customHeight="true" outlineLevel="0" collapsed="false">
      <c r="A226" s="2" t="s">
        <v>683</v>
      </c>
      <c r="B226" s="3" t="s">
        <v>684</v>
      </c>
      <c r="C226" s="2" t="s">
        <v>685</v>
      </c>
      <c r="D226" s="3" t="s">
        <v>696</v>
      </c>
      <c r="E226" s="2" t="s">
        <v>697</v>
      </c>
      <c r="F226" s="3" t="s">
        <v>20</v>
      </c>
      <c r="G226" s="3"/>
      <c r="H226" s="3" t="s">
        <v>698</v>
      </c>
      <c r="I226" s="3"/>
      <c r="J226" s="4" t="s">
        <v>23</v>
      </c>
      <c r="K226" s="4"/>
      <c r="L226" s="4"/>
      <c r="M226" s="4"/>
      <c r="N226" s="4"/>
      <c r="O226" s="5"/>
    </row>
    <row r="227" customFormat="false" ht="27.75" hidden="false" customHeight="true" outlineLevel="0" collapsed="false">
      <c r="A227" s="2" t="s">
        <v>683</v>
      </c>
      <c r="B227" s="3" t="s">
        <v>684</v>
      </c>
      <c r="C227" s="2" t="s">
        <v>685</v>
      </c>
      <c r="D227" s="3" t="s">
        <v>699</v>
      </c>
      <c r="E227" s="2" t="s">
        <v>700</v>
      </c>
      <c r="F227" s="3" t="s">
        <v>35</v>
      </c>
      <c r="G227" s="3" t="s">
        <v>21</v>
      </c>
      <c r="H227" s="3" t="s">
        <v>701</v>
      </c>
      <c r="I227" s="3"/>
      <c r="J227" s="4" t="s">
        <v>23</v>
      </c>
      <c r="K227" s="4"/>
      <c r="L227" s="4"/>
      <c r="M227" s="4"/>
      <c r="N227" s="4"/>
      <c r="O227" s="5"/>
    </row>
    <row r="228" customFormat="false" ht="27.75" hidden="false" customHeight="true" outlineLevel="0" collapsed="false">
      <c r="A228" s="2" t="s">
        <v>683</v>
      </c>
      <c r="B228" s="3" t="s">
        <v>684</v>
      </c>
      <c r="C228" s="2" t="s">
        <v>685</v>
      </c>
      <c r="D228" s="3" t="s">
        <v>702</v>
      </c>
      <c r="E228" s="2" t="s">
        <v>703</v>
      </c>
      <c r="F228" s="3" t="s">
        <v>43</v>
      </c>
      <c r="G228" s="3"/>
      <c r="H228" s="3"/>
      <c r="I228" s="3"/>
      <c r="J228" s="4" t="s">
        <v>23</v>
      </c>
      <c r="K228" s="4"/>
      <c r="L228" s="4"/>
      <c r="M228" s="4"/>
      <c r="N228" s="4"/>
      <c r="O228" s="5"/>
    </row>
    <row r="229" customFormat="false" ht="27.75" hidden="false" customHeight="true" outlineLevel="0" collapsed="false">
      <c r="A229" s="2" t="s">
        <v>683</v>
      </c>
      <c r="B229" s="3" t="s">
        <v>704</v>
      </c>
      <c r="C229" s="2" t="s">
        <v>705</v>
      </c>
      <c r="D229" s="3" t="s">
        <v>706</v>
      </c>
      <c r="E229" s="2" t="s">
        <v>707</v>
      </c>
      <c r="F229" s="3" t="s">
        <v>43</v>
      </c>
      <c r="G229" s="3"/>
      <c r="H229" s="3"/>
      <c r="I229" s="3"/>
      <c r="J229" s="4" t="s">
        <v>23</v>
      </c>
      <c r="K229" s="4"/>
      <c r="L229" s="4"/>
      <c r="M229" s="4"/>
      <c r="N229" s="4"/>
      <c r="O229" s="5"/>
    </row>
    <row r="230" customFormat="false" ht="27.75" hidden="false" customHeight="true" outlineLevel="0" collapsed="false">
      <c r="A230" s="2" t="s">
        <v>683</v>
      </c>
      <c r="B230" s="3" t="s">
        <v>704</v>
      </c>
      <c r="C230" s="2" t="s">
        <v>705</v>
      </c>
      <c r="D230" s="3" t="s">
        <v>708</v>
      </c>
      <c r="E230" s="2" t="s">
        <v>709</v>
      </c>
      <c r="F230" s="3" t="s">
        <v>20</v>
      </c>
      <c r="G230" s="3" t="s">
        <v>39</v>
      </c>
      <c r="H230" s="3" t="s">
        <v>710</v>
      </c>
      <c r="I230" s="3"/>
      <c r="J230" s="4" t="s">
        <v>23</v>
      </c>
      <c r="K230" s="4"/>
      <c r="L230" s="4"/>
      <c r="M230" s="4"/>
      <c r="N230" s="4"/>
      <c r="O230" s="5"/>
    </row>
    <row r="231" customFormat="false" ht="27.75" hidden="false" customHeight="true" outlineLevel="0" collapsed="false">
      <c r="A231" s="2" t="s">
        <v>683</v>
      </c>
      <c r="B231" s="3" t="s">
        <v>704</v>
      </c>
      <c r="C231" s="2" t="s">
        <v>705</v>
      </c>
      <c r="D231" s="3" t="s">
        <v>711</v>
      </c>
      <c r="E231" s="2" t="s">
        <v>712</v>
      </c>
      <c r="F231" s="3" t="s">
        <v>43</v>
      </c>
      <c r="G231" s="3"/>
      <c r="H231" s="3"/>
      <c r="I231" s="3"/>
      <c r="J231" s="4" t="s">
        <v>23</v>
      </c>
      <c r="K231" s="4"/>
      <c r="L231" s="4"/>
      <c r="M231" s="4"/>
      <c r="N231" s="4"/>
      <c r="O231" s="5"/>
    </row>
    <row r="232" customFormat="false" ht="27.75" hidden="false" customHeight="true" outlineLevel="0" collapsed="false">
      <c r="A232" s="2" t="s">
        <v>683</v>
      </c>
      <c r="B232" s="3" t="s">
        <v>704</v>
      </c>
      <c r="C232" s="2" t="s">
        <v>705</v>
      </c>
      <c r="D232" s="3" t="s">
        <v>713</v>
      </c>
      <c r="E232" s="2" t="s">
        <v>714</v>
      </c>
      <c r="F232" s="3" t="s">
        <v>43</v>
      </c>
      <c r="G232" s="3"/>
      <c r="H232" s="3"/>
      <c r="I232" s="3"/>
      <c r="J232" s="4" t="s">
        <v>23</v>
      </c>
      <c r="K232" s="4"/>
      <c r="L232" s="4"/>
      <c r="M232" s="4"/>
      <c r="N232" s="4"/>
      <c r="O232" s="5"/>
    </row>
    <row r="233" customFormat="false" ht="27.75" hidden="false" customHeight="true" outlineLevel="0" collapsed="false">
      <c r="A233" s="2" t="s">
        <v>715</v>
      </c>
      <c r="B233" s="3" t="s">
        <v>716</v>
      </c>
      <c r="C233" s="2" t="s">
        <v>717</v>
      </c>
      <c r="D233" s="3" t="s">
        <v>718</v>
      </c>
      <c r="E233" s="2" t="s">
        <v>719</v>
      </c>
      <c r="F233" s="3" t="s">
        <v>81</v>
      </c>
      <c r="G233" s="3"/>
      <c r="H233" s="3"/>
      <c r="I233" s="3"/>
      <c r="J233" s="4" t="s">
        <v>23</v>
      </c>
      <c r="K233" s="4"/>
      <c r="L233" s="4"/>
      <c r="M233" s="4"/>
      <c r="N233" s="4"/>
      <c r="O233" s="5"/>
    </row>
    <row r="234" customFormat="false" ht="27.75" hidden="false" customHeight="true" outlineLevel="0" collapsed="false">
      <c r="A234" s="2" t="s">
        <v>715</v>
      </c>
      <c r="B234" s="3" t="s">
        <v>716</v>
      </c>
      <c r="C234" s="2" t="s">
        <v>717</v>
      </c>
      <c r="D234" s="3" t="s">
        <v>720</v>
      </c>
      <c r="E234" s="2" t="s">
        <v>721</v>
      </c>
      <c r="F234" s="3" t="s">
        <v>81</v>
      </c>
      <c r="G234" s="3"/>
      <c r="H234" s="3"/>
      <c r="I234" s="3"/>
      <c r="J234" s="4" t="s">
        <v>23</v>
      </c>
      <c r="K234" s="4"/>
      <c r="L234" s="4"/>
      <c r="M234" s="4"/>
      <c r="N234" s="4"/>
      <c r="O234" s="5"/>
    </row>
    <row r="235" customFormat="false" ht="27.75" hidden="false" customHeight="true" outlineLevel="0" collapsed="false">
      <c r="A235" s="2" t="s">
        <v>715</v>
      </c>
      <c r="B235" s="3" t="s">
        <v>716</v>
      </c>
      <c r="C235" s="2" t="s">
        <v>717</v>
      </c>
      <c r="D235" s="3" t="s">
        <v>722</v>
      </c>
      <c r="E235" s="2" t="s">
        <v>723</v>
      </c>
      <c r="F235" s="3" t="s">
        <v>81</v>
      </c>
      <c r="G235" s="3"/>
      <c r="H235" s="3"/>
      <c r="I235" s="3"/>
      <c r="J235" s="4" t="s">
        <v>23</v>
      </c>
      <c r="K235" s="4"/>
      <c r="L235" s="4"/>
      <c r="M235" s="4"/>
      <c r="N235" s="4"/>
      <c r="O235" s="5"/>
    </row>
    <row r="236" customFormat="false" ht="27.75" hidden="false" customHeight="true" outlineLevel="0" collapsed="false">
      <c r="A236" s="2" t="s">
        <v>715</v>
      </c>
      <c r="B236" s="3" t="s">
        <v>716</v>
      </c>
      <c r="C236" s="2" t="s">
        <v>717</v>
      </c>
      <c r="D236" s="3" t="s">
        <v>724</v>
      </c>
      <c r="E236" s="2" t="s">
        <v>725</v>
      </c>
      <c r="F236" s="3" t="s">
        <v>20</v>
      </c>
      <c r="G236" s="3" t="s">
        <v>39</v>
      </c>
      <c r="H236" s="3" t="s">
        <v>726</v>
      </c>
      <c r="I236" s="3"/>
      <c r="J236" s="4" t="s">
        <v>23</v>
      </c>
      <c r="K236" s="4"/>
      <c r="L236" s="4"/>
      <c r="M236" s="4"/>
      <c r="N236" s="4"/>
      <c r="O236" s="5"/>
    </row>
    <row r="237" customFormat="false" ht="27.75" hidden="false" customHeight="true" outlineLevel="0" collapsed="false">
      <c r="A237" s="2" t="s">
        <v>715</v>
      </c>
      <c r="B237" s="3" t="s">
        <v>716</v>
      </c>
      <c r="C237" s="2" t="s">
        <v>717</v>
      </c>
      <c r="D237" s="3" t="s">
        <v>727</v>
      </c>
      <c r="E237" s="2" t="s">
        <v>728</v>
      </c>
      <c r="F237" s="3" t="s">
        <v>81</v>
      </c>
      <c r="G237" s="3"/>
      <c r="H237" s="3"/>
      <c r="I237" s="3"/>
      <c r="J237" s="4" t="s">
        <v>23</v>
      </c>
      <c r="K237" s="4"/>
      <c r="L237" s="4"/>
      <c r="M237" s="4"/>
      <c r="N237" s="4"/>
      <c r="O237" s="5"/>
    </row>
    <row r="238" customFormat="false" ht="27.75" hidden="false" customHeight="true" outlineLevel="0" collapsed="false">
      <c r="A238" s="2" t="s">
        <v>715</v>
      </c>
      <c r="B238" s="3" t="s">
        <v>729</v>
      </c>
      <c r="C238" s="2" t="s">
        <v>730</v>
      </c>
      <c r="D238" s="3" t="s">
        <v>731</v>
      </c>
      <c r="E238" s="2" t="s">
        <v>732</v>
      </c>
      <c r="F238" s="3" t="s">
        <v>20</v>
      </c>
      <c r="G238" s="3" t="s">
        <v>39</v>
      </c>
      <c r="H238" s="3" t="s">
        <v>733</v>
      </c>
      <c r="I238" s="3"/>
      <c r="J238" s="4" t="s">
        <v>23</v>
      </c>
      <c r="K238" s="4"/>
      <c r="L238" s="4"/>
      <c r="M238" s="4"/>
      <c r="N238" s="4"/>
      <c r="O238" s="5"/>
    </row>
    <row r="239" customFormat="false" ht="27.75" hidden="false" customHeight="true" outlineLevel="0" collapsed="false">
      <c r="A239" s="2" t="s">
        <v>715</v>
      </c>
      <c r="B239" s="3" t="s">
        <v>729</v>
      </c>
      <c r="C239" s="2" t="s">
        <v>730</v>
      </c>
      <c r="D239" s="3" t="s">
        <v>734</v>
      </c>
      <c r="E239" s="2" t="s">
        <v>735</v>
      </c>
      <c r="F239" s="3" t="s">
        <v>35</v>
      </c>
      <c r="G239" s="3" t="s">
        <v>21</v>
      </c>
      <c r="H239" s="3" t="s">
        <v>736</v>
      </c>
      <c r="I239" s="3"/>
      <c r="J239" s="4" t="s">
        <v>23</v>
      </c>
      <c r="K239" s="4"/>
      <c r="L239" s="4"/>
      <c r="M239" s="4"/>
      <c r="N239" s="4"/>
      <c r="O239" s="5"/>
    </row>
    <row r="240" customFormat="false" ht="27.75" hidden="false" customHeight="true" outlineLevel="0" collapsed="false">
      <c r="A240" s="2" t="s">
        <v>715</v>
      </c>
      <c r="B240" s="3" t="s">
        <v>729</v>
      </c>
      <c r="C240" s="2" t="s">
        <v>730</v>
      </c>
      <c r="D240" s="3" t="s">
        <v>737</v>
      </c>
      <c r="E240" s="2" t="s">
        <v>738</v>
      </c>
      <c r="F240" s="3" t="s">
        <v>20</v>
      </c>
      <c r="G240" s="3" t="s">
        <v>39</v>
      </c>
      <c r="H240" s="3" t="s">
        <v>739</v>
      </c>
      <c r="I240" s="3"/>
      <c r="J240" s="4" t="s">
        <v>23</v>
      </c>
      <c r="K240" s="4"/>
      <c r="L240" s="4"/>
      <c r="M240" s="4"/>
      <c r="N240" s="4"/>
      <c r="O240" s="5"/>
    </row>
    <row r="241" customFormat="false" ht="27.75" hidden="false" customHeight="true" outlineLevel="0" collapsed="false">
      <c r="A241" s="2" t="s">
        <v>715</v>
      </c>
      <c r="B241" s="3" t="s">
        <v>729</v>
      </c>
      <c r="C241" s="2" t="s">
        <v>730</v>
      </c>
      <c r="D241" s="3" t="s">
        <v>740</v>
      </c>
      <c r="E241" s="2" t="s">
        <v>741</v>
      </c>
      <c r="F241" s="3" t="s">
        <v>20</v>
      </c>
      <c r="G241" s="3" t="s">
        <v>39</v>
      </c>
      <c r="H241" s="3" t="s">
        <v>742</v>
      </c>
      <c r="I241" s="3"/>
      <c r="J241" s="4" t="s">
        <v>23</v>
      </c>
      <c r="K241" s="4"/>
      <c r="L241" s="4"/>
      <c r="M241" s="4"/>
      <c r="N241" s="4"/>
      <c r="O241" s="5"/>
    </row>
    <row r="242" customFormat="false" ht="27.75" hidden="false" customHeight="true" outlineLevel="0" collapsed="false">
      <c r="A242" s="2" t="s">
        <v>715</v>
      </c>
      <c r="B242" s="3" t="s">
        <v>729</v>
      </c>
      <c r="C242" s="2" t="s">
        <v>730</v>
      </c>
      <c r="D242" s="3" t="s">
        <v>743</v>
      </c>
      <c r="E242" s="2" t="s">
        <v>744</v>
      </c>
      <c r="F242" s="3" t="s">
        <v>20</v>
      </c>
      <c r="G242" s="3" t="s">
        <v>39</v>
      </c>
      <c r="H242" s="3" t="s">
        <v>745</v>
      </c>
      <c r="I242" s="3"/>
      <c r="J242" s="4" t="s">
        <v>23</v>
      </c>
      <c r="K242" s="4"/>
      <c r="L242" s="4"/>
      <c r="M242" s="4"/>
      <c r="N242" s="4"/>
      <c r="O242" s="5"/>
    </row>
    <row r="243" customFormat="false" ht="27.75" hidden="false" customHeight="true" outlineLevel="0" collapsed="false">
      <c r="A243" s="2" t="s">
        <v>715</v>
      </c>
      <c r="B243" s="3" t="s">
        <v>729</v>
      </c>
      <c r="C243" s="2" t="s">
        <v>730</v>
      </c>
      <c r="D243" s="3" t="s">
        <v>746</v>
      </c>
      <c r="E243" s="2" t="s">
        <v>747</v>
      </c>
      <c r="F243" s="3" t="s">
        <v>20</v>
      </c>
      <c r="G243" s="3" t="s">
        <v>39</v>
      </c>
      <c r="H243" s="3" t="s">
        <v>748</v>
      </c>
      <c r="I243" s="3"/>
      <c r="J243" s="4" t="s">
        <v>23</v>
      </c>
      <c r="K243" s="4"/>
      <c r="L243" s="4"/>
      <c r="M243" s="4"/>
      <c r="N243" s="4"/>
      <c r="O243" s="5"/>
    </row>
    <row r="244" customFormat="false" ht="27.75" hidden="false" customHeight="true" outlineLevel="0" collapsed="false">
      <c r="A244" s="2" t="s">
        <v>715</v>
      </c>
      <c r="B244" s="3" t="s">
        <v>729</v>
      </c>
      <c r="C244" s="2" t="s">
        <v>730</v>
      </c>
      <c r="D244" s="3" t="s">
        <v>749</v>
      </c>
      <c r="E244" s="2" t="s">
        <v>750</v>
      </c>
      <c r="F244" s="3" t="s">
        <v>81</v>
      </c>
      <c r="G244" s="3"/>
      <c r="H244" s="3"/>
      <c r="I244" s="3"/>
      <c r="J244" s="4" t="s">
        <v>23</v>
      </c>
      <c r="K244" s="4"/>
      <c r="L244" s="4"/>
      <c r="M244" s="4"/>
      <c r="N244" s="4"/>
      <c r="O244" s="5"/>
    </row>
    <row r="245" customFormat="false" ht="27.75" hidden="false" customHeight="true" outlineLevel="0" collapsed="false">
      <c r="A245" s="2" t="s">
        <v>715</v>
      </c>
      <c r="B245" s="3" t="s">
        <v>751</v>
      </c>
      <c r="C245" s="2" t="s">
        <v>752</v>
      </c>
      <c r="D245" s="3" t="s">
        <v>753</v>
      </c>
      <c r="E245" s="2" t="s">
        <v>754</v>
      </c>
      <c r="F245" s="3" t="s">
        <v>20</v>
      </c>
      <c r="G245" s="3" t="s">
        <v>39</v>
      </c>
      <c r="H245" s="3" t="s">
        <v>755</v>
      </c>
      <c r="I245" s="3"/>
      <c r="J245" s="4" t="s">
        <v>23</v>
      </c>
      <c r="K245" s="4"/>
      <c r="L245" s="4"/>
      <c r="M245" s="4"/>
      <c r="N245" s="4"/>
      <c r="O245" s="5"/>
    </row>
    <row r="246" customFormat="false" ht="27.75" hidden="false" customHeight="true" outlineLevel="0" collapsed="false">
      <c r="A246" s="2" t="s">
        <v>715</v>
      </c>
      <c r="B246" s="3" t="s">
        <v>751</v>
      </c>
      <c r="C246" s="2" t="s">
        <v>752</v>
      </c>
      <c r="D246" s="3" t="s">
        <v>756</v>
      </c>
      <c r="E246" s="2" t="s">
        <v>757</v>
      </c>
      <c r="F246" s="3" t="s">
        <v>20</v>
      </c>
      <c r="G246" s="3" t="s">
        <v>39</v>
      </c>
      <c r="H246" s="3" t="s">
        <v>758</v>
      </c>
      <c r="I246" s="3"/>
      <c r="J246" s="4" t="s">
        <v>23</v>
      </c>
      <c r="K246" s="4"/>
      <c r="L246" s="4"/>
      <c r="M246" s="4"/>
      <c r="N246" s="4"/>
      <c r="O246" s="5"/>
    </row>
    <row r="247" customFormat="false" ht="27.75" hidden="false" customHeight="true" outlineLevel="0" collapsed="false">
      <c r="A247" s="2" t="s">
        <v>715</v>
      </c>
      <c r="B247" s="3" t="s">
        <v>751</v>
      </c>
      <c r="C247" s="2" t="s">
        <v>752</v>
      </c>
      <c r="D247" s="3" t="s">
        <v>759</v>
      </c>
      <c r="E247" s="2" t="s">
        <v>760</v>
      </c>
      <c r="F247" s="3" t="s">
        <v>20</v>
      </c>
      <c r="G247" s="3" t="s">
        <v>39</v>
      </c>
      <c r="H247" s="3" t="s">
        <v>761</v>
      </c>
      <c r="I247" s="3"/>
      <c r="J247" s="4" t="s">
        <v>23</v>
      </c>
      <c r="K247" s="4"/>
      <c r="L247" s="4"/>
      <c r="M247" s="4"/>
      <c r="N247" s="4"/>
      <c r="O247" s="5"/>
    </row>
    <row r="248" customFormat="false" ht="27.75" hidden="false" customHeight="true" outlineLevel="0" collapsed="false">
      <c r="A248" s="2" t="s">
        <v>715</v>
      </c>
      <c r="B248" s="3" t="s">
        <v>751</v>
      </c>
      <c r="C248" s="2" t="s">
        <v>752</v>
      </c>
      <c r="D248" s="3" t="s">
        <v>762</v>
      </c>
      <c r="E248" s="2" t="s">
        <v>763</v>
      </c>
      <c r="F248" s="3" t="s">
        <v>20</v>
      </c>
      <c r="G248" s="3" t="s">
        <v>39</v>
      </c>
      <c r="H248" s="3" t="s">
        <v>764</v>
      </c>
      <c r="I248" s="3"/>
      <c r="J248" s="4" t="s">
        <v>23</v>
      </c>
      <c r="K248" s="4"/>
      <c r="L248" s="4"/>
      <c r="M248" s="4"/>
      <c r="N248" s="4"/>
      <c r="O248" s="5"/>
    </row>
    <row r="249" customFormat="false" ht="27.75" hidden="false" customHeight="true" outlineLevel="0" collapsed="false">
      <c r="A249" s="2" t="s">
        <v>715</v>
      </c>
      <c r="B249" s="3" t="s">
        <v>751</v>
      </c>
      <c r="C249" s="2" t="s">
        <v>752</v>
      </c>
      <c r="D249" s="3" t="s">
        <v>765</v>
      </c>
      <c r="E249" s="2" t="s">
        <v>766</v>
      </c>
      <c r="F249" s="3" t="s">
        <v>20</v>
      </c>
      <c r="G249" s="3" t="s">
        <v>39</v>
      </c>
      <c r="H249" s="3" t="s">
        <v>767</v>
      </c>
      <c r="I249" s="3"/>
      <c r="J249" s="4" t="s">
        <v>23</v>
      </c>
      <c r="K249" s="4"/>
      <c r="L249" s="4"/>
      <c r="M249" s="4"/>
      <c r="N249" s="4"/>
      <c r="O249" s="5"/>
    </row>
    <row r="250" customFormat="false" ht="27.75" hidden="false" customHeight="true" outlineLevel="0" collapsed="false">
      <c r="A250" s="2" t="s">
        <v>715</v>
      </c>
      <c r="B250" s="3" t="s">
        <v>751</v>
      </c>
      <c r="C250" s="2" t="s">
        <v>752</v>
      </c>
      <c r="D250" s="3" t="s">
        <v>768</v>
      </c>
      <c r="E250" s="2" t="s">
        <v>769</v>
      </c>
      <c r="F250" s="3" t="s">
        <v>20</v>
      </c>
      <c r="G250" s="3" t="s">
        <v>39</v>
      </c>
      <c r="H250" s="3" t="s">
        <v>770</v>
      </c>
      <c r="I250" s="3"/>
      <c r="J250" s="4" t="s">
        <v>23</v>
      </c>
      <c r="K250" s="4"/>
      <c r="L250" s="4"/>
      <c r="M250" s="4"/>
      <c r="N250" s="4"/>
      <c r="O250" s="5"/>
    </row>
    <row r="251" customFormat="false" ht="27.75" hidden="false" customHeight="true" outlineLevel="0" collapsed="false">
      <c r="A251" s="2" t="s">
        <v>715</v>
      </c>
      <c r="B251" s="3" t="s">
        <v>771</v>
      </c>
      <c r="C251" s="2" t="s">
        <v>772</v>
      </c>
      <c r="D251" s="3" t="s">
        <v>773</v>
      </c>
      <c r="E251" s="2" t="s">
        <v>774</v>
      </c>
      <c r="F251" s="3" t="s">
        <v>20</v>
      </c>
      <c r="G251" s="3" t="s">
        <v>39</v>
      </c>
      <c r="H251" s="3" t="s">
        <v>775</v>
      </c>
      <c r="I251" s="3"/>
      <c r="J251" s="4" t="s">
        <v>23</v>
      </c>
      <c r="K251" s="4"/>
      <c r="L251" s="4"/>
      <c r="M251" s="4"/>
      <c r="N251" s="4"/>
      <c r="O251" s="5"/>
    </row>
    <row r="252" customFormat="false" ht="27.75" hidden="false" customHeight="true" outlineLevel="0" collapsed="false">
      <c r="A252" s="2" t="s">
        <v>715</v>
      </c>
      <c r="B252" s="3" t="s">
        <v>771</v>
      </c>
      <c r="C252" s="2" t="s">
        <v>772</v>
      </c>
      <c r="D252" s="3" t="s">
        <v>776</v>
      </c>
      <c r="E252" s="2" t="s">
        <v>777</v>
      </c>
      <c r="F252" s="3" t="s">
        <v>20</v>
      </c>
      <c r="G252" s="3" t="s">
        <v>39</v>
      </c>
      <c r="H252" s="3" t="s">
        <v>778</v>
      </c>
      <c r="I252" s="3"/>
      <c r="J252" s="4" t="s">
        <v>23</v>
      </c>
      <c r="K252" s="4"/>
      <c r="L252" s="4"/>
      <c r="M252" s="4"/>
      <c r="N252" s="4"/>
      <c r="O252" s="5"/>
    </row>
    <row r="253" customFormat="false" ht="27.75" hidden="false" customHeight="true" outlineLevel="0" collapsed="false">
      <c r="A253" s="2" t="s">
        <v>715</v>
      </c>
      <c r="B253" s="3" t="s">
        <v>771</v>
      </c>
      <c r="C253" s="2" t="s">
        <v>772</v>
      </c>
      <c r="D253" s="3" t="s">
        <v>779</v>
      </c>
      <c r="E253" s="2" t="s">
        <v>780</v>
      </c>
      <c r="F253" s="3" t="s">
        <v>35</v>
      </c>
      <c r="G253" s="3" t="s">
        <v>39</v>
      </c>
      <c r="H253" s="3" t="s">
        <v>781</v>
      </c>
      <c r="I253" s="3"/>
      <c r="J253" s="4" t="s">
        <v>23</v>
      </c>
      <c r="K253" s="4"/>
      <c r="L253" s="4"/>
      <c r="M253" s="4"/>
      <c r="N253" s="4"/>
      <c r="O253" s="5"/>
    </row>
    <row r="254" customFormat="false" ht="27.75" hidden="false" customHeight="true" outlineLevel="0" collapsed="false">
      <c r="A254" s="2" t="s">
        <v>715</v>
      </c>
      <c r="B254" s="3" t="s">
        <v>771</v>
      </c>
      <c r="C254" s="2" t="s">
        <v>772</v>
      </c>
      <c r="D254" s="3" t="s">
        <v>782</v>
      </c>
      <c r="E254" s="2" t="s">
        <v>783</v>
      </c>
      <c r="F254" s="3" t="s">
        <v>20</v>
      </c>
      <c r="G254" s="3" t="s">
        <v>39</v>
      </c>
      <c r="H254" s="3" t="s">
        <v>784</v>
      </c>
      <c r="I254" s="3"/>
      <c r="J254" s="4" t="s">
        <v>23</v>
      </c>
      <c r="K254" s="4"/>
      <c r="L254" s="4"/>
      <c r="M254" s="4"/>
      <c r="N254" s="4"/>
      <c r="O254" s="5"/>
    </row>
    <row r="255" customFormat="false" ht="27.75" hidden="false" customHeight="true" outlineLevel="0" collapsed="false">
      <c r="A255" s="2" t="s">
        <v>715</v>
      </c>
      <c r="B255" s="3" t="s">
        <v>771</v>
      </c>
      <c r="C255" s="2" t="s">
        <v>772</v>
      </c>
      <c r="D255" s="3" t="s">
        <v>785</v>
      </c>
      <c r="E255" s="2" t="s">
        <v>786</v>
      </c>
      <c r="F255" s="3" t="s">
        <v>43</v>
      </c>
      <c r="G255" s="3"/>
      <c r="H255" s="3"/>
      <c r="I255" s="3"/>
      <c r="J255" s="4" t="s">
        <v>23</v>
      </c>
      <c r="K255" s="4"/>
      <c r="L255" s="4"/>
      <c r="M255" s="4"/>
      <c r="N255" s="4"/>
      <c r="O255" s="5"/>
    </row>
    <row r="256" customFormat="false" ht="27.75" hidden="false" customHeight="true" outlineLevel="0" collapsed="false">
      <c r="A256" s="2" t="s">
        <v>715</v>
      </c>
      <c r="B256" s="3" t="s">
        <v>771</v>
      </c>
      <c r="C256" s="2" t="s">
        <v>772</v>
      </c>
      <c r="D256" s="3" t="s">
        <v>787</v>
      </c>
      <c r="E256" s="2" t="s">
        <v>788</v>
      </c>
      <c r="F256" s="3" t="s">
        <v>43</v>
      </c>
      <c r="G256" s="3"/>
      <c r="H256" s="3"/>
      <c r="I256" s="3"/>
      <c r="J256" s="4" t="s">
        <v>23</v>
      </c>
      <c r="K256" s="4"/>
      <c r="L256" s="4"/>
      <c r="M256" s="4"/>
      <c r="N256" s="4"/>
      <c r="O256" s="5"/>
    </row>
    <row r="257" customFormat="false" ht="27.75" hidden="false" customHeight="true" outlineLevel="0" collapsed="false">
      <c r="A257" s="2" t="s">
        <v>789</v>
      </c>
      <c r="B257" s="3" t="s">
        <v>790</v>
      </c>
      <c r="C257" s="2" t="s">
        <v>791</v>
      </c>
      <c r="D257" s="3" t="s">
        <v>792</v>
      </c>
      <c r="E257" s="2" t="s">
        <v>793</v>
      </c>
      <c r="F257" s="3" t="s">
        <v>20</v>
      </c>
      <c r="G257" s="3"/>
      <c r="H257" s="3" t="s">
        <v>794</v>
      </c>
      <c r="I257" s="3"/>
      <c r="J257" s="4" t="s">
        <v>23</v>
      </c>
      <c r="K257" s="4"/>
      <c r="L257" s="4"/>
      <c r="M257" s="4"/>
      <c r="N257" s="4"/>
      <c r="O257" s="5"/>
    </row>
    <row r="258" customFormat="false" ht="27.75" hidden="false" customHeight="true" outlineLevel="0" collapsed="false">
      <c r="A258" s="2" t="s">
        <v>789</v>
      </c>
      <c r="B258" s="3" t="s">
        <v>790</v>
      </c>
      <c r="C258" s="2" t="s">
        <v>791</v>
      </c>
      <c r="D258" s="3" t="s">
        <v>795</v>
      </c>
      <c r="E258" s="2" t="s">
        <v>796</v>
      </c>
      <c r="F258" s="3" t="s">
        <v>20</v>
      </c>
      <c r="G258" s="3" t="s">
        <v>39</v>
      </c>
      <c r="H258" s="3" t="s">
        <v>797</v>
      </c>
      <c r="I258" s="3"/>
      <c r="J258" s="4" t="s">
        <v>23</v>
      </c>
      <c r="K258" s="4"/>
      <c r="L258" s="4"/>
      <c r="M258" s="4"/>
      <c r="N258" s="4"/>
      <c r="O258" s="5"/>
    </row>
    <row r="259" customFormat="false" ht="27.75" hidden="false" customHeight="true" outlineLevel="0" collapsed="false">
      <c r="A259" s="2" t="s">
        <v>789</v>
      </c>
      <c r="B259" s="3" t="s">
        <v>790</v>
      </c>
      <c r="C259" s="2" t="s">
        <v>791</v>
      </c>
      <c r="D259" s="3" t="s">
        <v>798</v>
      </c>
      <c r="E259" s="2" t="s">
        <v>799</v>
      </c>
      <c r="F259" s="3" t="s">
        <v>20</v>
      </c>
      <c r="G259" s="3" t="s">
        <v>39</v>
      </c>
      <c r="H259" s="3" t="s">
        <v>800</v>
      </c>
      <c r="I259" s="3"/>
      <c r="J259" s="4" t="s">
        <v>23</v>
      </c>
      <c r="K259" s="4"/>
      <c r="L259" s="4"/>
      <c r="M259" s="4"/>
      <c r="N259" s="4"/>
      <c r="O259" s="5"/>
    </row>
    <row r="260" customFormat="false" ht="27.75" hidden="false" customHeight="true" outlineLevel="0" collapsed="false">
      <c r="A260" s="2" t="s">
        <v>789</v>
      </c>
      <c r="B260" s="3" t="s">
        <v>790</v>
      </c>
      <c r="C260" s="2" t="s">
        <v>791</v>
      </c>
      <c r="D260" s="3" t="s">
        <v>801</v>
      </c>
      <c r="E260" s="2" t="s">
        <v>802</v>
      </c>
      <c r="F260" s="3" t="s">
        <v>20</v>
      </c>
      <c r="G260" s="3" t="s">
        <v>39</v>
      </c>
      <c r="H260" s="3" t="s">
        <v>803</v>
      </c>
      <c r="I260" s="3"/>
      <c r="J260" s="4" t="s">
        <v>23</v>
      </c>
      <c r="K260" s="4"/>
      <c r="L260" s="4"/>
      <c r="M260" s="4"/>
      <c r="N260" s="4"/>
      <c r="O260" s="5"/>
    </row>
    <row r="261" customFormat="false" ht="27.75" hidden="false" customHeight="true" outlineLevel="0" collapsed="false">
      <c r="A261" s="2" t="s">
        <v>789</v>
      </c>
      <c r="B261" s="3" t="s">
        <v>790</v>
      </c>
      <c r="C261" s="2" t="s">
        <v>791</v>
      </c>
      <c r="D261" s="3" t="s">
        <v>804</v>
      </c>
      <c r="E261" s="2" t="s">
        <v>805</v>
      </c>
      <c r="F261" s="3" t="s">
        <v>20</v>
      </c>
      <c r="G261" s="3"/>
      <c r="H261" s="3" t="s">
        <v>806</v>
      </c>
      <c r="I261" s="3"/>
      <c r="J261" s="4" t="s">
        <v>23</v>
      </c>
      <c r="K261" s="4"/>
      <c r="L261" s="4"/>
      <c r="M261" s="4"/>
      <c r="N261" s="4"/>
      <c r="O261" s="5"/>
    </row>
    <row r="262" customFormat="false" ht="27.75" hidden="false" customHeight="true" outlineLevel="0" collapsed="false">
      <c r="A262" s="2" t="s">
        <v>789</v>
      </c>
      <c r="B262" s="3" t="s">
        <v>790</v>
      </c>
      <c r="C262" s="2" t="s">
        <v>791</v>
      </c>
      <c r="D262" s="3" t="s">
        <v>807</v>
      </c>
      <c r="E262" s="2" t="s">
        <v>808</v>
      </c>
      <c r="F262" s="3" t="s">
        <v>20</v>
      </c>
      <c r="G262" s="3" t="s">
        <v>39</v>
      </c>
      <c r="H262" s="3" t="s">
        <v>809</v>
      </c>
      <c r="I262" s="3"/>
      <c r="J262" s="4" t="s">
        <v>23</v>
      </c>
      <c r="K262" s="4"/>
      <c r="L262" s="4"/>
      <c r="M262" s="4"/>
      <c r="N262" s="4"/>
      <c r="O262" s="5"/>
    </row>
    <row r="263" customFormat="false" ht="27.75" hidden="false" customHeight="true" outlineLevel="0" collapsed="false">
      <c r="A263" s="2" t="s">
        <v>789</v>
      </c>
      <c r="B263" s="3" t="s">
        <v>790</v>
      </c>
      <c r="C263" s="2" t="s">
        <v>791</v>
      </c>
      <c r="D263" s="3" t="s">
        <v>810</v>
      </c>
      <c r="E263" s="2" t="s">
        <v>811</v>
      </c>
      <c r="F263" s="3" t="s">
        <v>81</v>
      </c>
      <c r="G263" s="3"/>
      <c r="H263" s="3"/>
      <c r="I263" s="3"/>
      <c r="J263" s="4" t="s">
        <v>23</v>
      </c>
      <c r="K263" s="4"/>
      <c r="L263" s="4"/>
      <c r="M263" s="4"/>
      <c r="N263" s="4"/>
      <c r="O263" s="5"/>
    </row>
    <row r="264" customFormat="false" ht="27.75" hidden="false" customHeight="true" outlineLevel="0" collapsed="false">
      <c r="A264" s="2" t="s">
        <v>789</v>
      </c>
      <c r="B264" s="3" t="s">
        <v>790</v>
      </c>
      <c r="C264" s="2" t="s">
        <v>791</v>
      </c>
      <c r="D264" s="3" t="s">
        <v>812</v>
      </c>
      <c r="E264" s="2" t="s">
        <v>813</v>
      </c>
      <c r="F264" s="3" t="s">
        <v>81</v>
      </c>
      <c r="G264" s="3"/>
      <c r="H264" s="3"/>
      <c r="I264" s="3"/>
      <c r="J264" s="4" t="s">
        <v>23</v>
      </c>
      <c r="K264" s="4"/>
      <c r="L264" s="4"/>
      <c r="M264" s="4"/>
      <c r="N264" s="4"/>
      <c r="O264" s="5"/>
    </row>
    <row r="265" customFormat="false" ht="27.75" hidden="false" customHeight="true" outlineLevel="0" collapsed="false">
      <c r="A265" s="2" t="s">
        <v>814</v>
      </c>
      <c r="B265" s="3" t="s">
        <v>815</v>
      </c>
      <c r="C265" s="2" t="s">
        <v>816</v>
      </c>
      <c r="D265" s="3" t="s">
        <v>817</v>
      </c>
      <c r="E265" s="2" t="s">
        <v>818</v>
      </c>
      <c r="F265" s="3" t="s">
        <v>81</v>
      </c>
      <c r="G265" s="3"/>
      <c r="H265" s="3"/>
      <c r="I265" s="3"/>
      <c r="J265" s="4" t="s">
        <v>23</v>
      </c>
      <c r="K265" s="4"/>
      <c r="L265" s="4"/>
      <c r="M265" s="4"/>
      <c r="N265" s="4"/>
      <c r="O265" s="5"/>
    </row>
    <row r="266" customFormat="false" ht="27.75" hidden="false" customHeight="true" outlineLevel="0" collapsed="false">
      <c r="A266" s="2" t="s">
        <v>814</v>
      </c>
      <c r="B266" s="3" t="s">
        <v>815</v>
      </c>
      <c r="C266" s="2" t="s">
        <v>816</v>
      </c>
      <c r="D266" s="3" t="s">
        <v>819</v>
      </c>
      <c r="E266" s="2" t="s">
        <v>820</v>
      </c>
      <c r="F266" s="3" t="s">
        <v>81</v>
      </c>
      <c r="G266" s="3"/>
      <c r="H266" s="3"/>
      <c r="I266" s="3"/>
      <c r="J266" s="4" t="s">
        <v>23</v>
      </c>
      <c r="K266" s="4"/>
      <c r="L266" s="4"/>
      <c r="M266" s="4"/>
      <c r="N266" s="4"/>
      <c r="O266" s="5"/>
    </row>
    <row r="267" customFormat="false" ht="27.75" hidden="false" customHeight="true" outlineLevel="0" collapsed="false">
      <c r="A267" s="2" t="s">
        <v>814</v>
      </c>
      <c r="B267" s="3" t="s">
        <v>815</v>
      </c>
      <c r="C267" s="2" t="s">
        <v>816</v>
      </c>
      <c r="D267" s="3" t="s">
        <v>821</v>
      </c>
      <c r="E267" s="2" t="s">
        <v>822</v>
      </c>
      <c r="F267" s="3" t="s">
        <v>20</v>
      </c>
      <c r="G267" s="3" t="s">
        <v>21</v>
      </c>
      <c r="H267" s="3" t="s">
        <v>823</v>
      </c>
      <c r="I267" s="3"/>
      <c r="J267" s="4" t="s">
        <v>23</v>
      </c>
      <c r="K267" s="4"/>
      <c r="L267" s="4"/>
      <c r="M267" s="4"/>
      <c r="N267" s="4"/>
      <c r="O267" s="5"/>
    </row>
    <row r="268" customFormat="false" ht="27.75" hidden="false" customHeight="true" outlineLevel="0" collapsed="false">
      <c r="A268" s="2" t="s">
        <v>814</v>
      </c>
      <c r="B268" s="3" t="s">
        <v>815</v>
      </c>
      <c r="C268" s="2" t="s">
        <v>816</v>
      </c>
      <c r="D268" s="3" t="s">
        <v>824</v>
      </c>
      <c r="E268" s="2" t="s">
        <v>825</v>
      </c>
      <c r="F268" s="3" t="s">
        <v>20</v>
      </c>
      <c r="G268" s="3"/>
      <c r="H268" s="3" t="s">
        <v>826</v>
      </c>
      <c r="I268" s="3"/>
      <c r="J268" s="4" t="s">
        <v>23</v>
      </c>
      <c r="K268" s="4"/>
      <c r="L268" s="4"/>
      <c r="M268" s="4"/>
      <c r="N268" s="4"/>
      <c r="O268" s="5"/>
    </row>
    <row r="269" customFormat="false" ht="27.75" hidden="false" customHeight="true" outlineLevel="0" collapsed="false">
      <c r="A269" s="2" t="s">
        <v>814</v>
      </c>
      <c r="B269" s="3" t="s">
        <v>815</v>
      </c>
      <c r="C269" s="2" t="s">
        <v>816</v>
      </c>
      <c r="D269" s="3" t="s">
        <v>827</v>
      </c>
      <c r="E269" s="2" t="s">
        <v>828</v>
      </c>
      <c r="F269" s="3" t="s">
        <v>81</v>
      </c>
      <c r="G269" s="3"/>
      <c r="H269" s="3"/>
      <c r="I269" s="3"/>
      <c r="J269" s="4" t="s">
        <v>23</v>
      </c>
      <c r="K269" s="4"/>
      <c r="L269" s="4"/>
      <c r="M269" s="4"/>
      <c r="N269" s="4"/>
      <c r="O269" s="5"/>
    </row>
    <row r="270" customFormat="false" ht="27.75" hidden="false" customHeight="true" outlineLevel="0" collapsed="false">
      <c r="A270" s="2" t="s">
        <v>814</v>
      </c>
      <c r="B270" s="3" t="s">
        <v>815</v>
      </c>
      <c r="C270" s="2" t="s">
        <v>816</v>
      </c>
      <c r="D270" s="3" t="s">
        <v>829</v>
      </c>
      <c r="E270" s="2" t="s">
        <v>830</v>
      </c>
      <c r="F270" s="3" t="s">
        <v>20</v>
      </c>
      <c r="G270" s="3" t="s">
        <v>21</v>
      </c>
      <c r="H270" s="3" t="s">
        <v>831</v>
      </c>
      <c r="I270" s="3"/>
      <c r="J270" s="4" t="s">
        <v>23</v>
      </c>
      <c r="K270" s="4"/>
      <c r="L270" s="4"/>
      <c r="M270" s="4"/>
      <c r="N270" s="4"/>
      <c r="O270" s="5"/>
    </row>
    <row r="271" customFormat="false" ht="27.75" hidden="false" customHeight="true" outlineLevel="0" collapsed="false">
      <c r="A271" s="2" t="s">
        <v>814</v>
      </c>
      <c r="B271" s="3" t="s">
        <v>815</v>
      </c>
      <c r="C271" s="2" t="s">
        <v>816</v>
      </c>
      <c r="D271" s="3" t="s">
        <v>832</v>
      </c>
      <c r="E271" s="2" t="s">
        <v>833</v>
      </c>
      <c r="F271" s="3" t="s">
        <v>20</v>
      </c>
      <c r="G271" s="3"/>
      <c r="H271" s="3" t="s">
        <v>834</v>
      </c>
      <c r="I271" s="3"/>
      <c r="J271" s="4" t="s">
        <v>23</v>
      </c>
      <c r="K271" s="4"/>
      <c r="L271" s="4"/>
      <c r="M271" s="4"/>
      <c r="N271" s="4"/>
      <c r="O271" s="5"/>
    </row>
    <row r="272" customFormat="false" ht="27.75" hidden="false" customHeight="true" outlineLevel="0" collapsed="false">
      <c r="A272" s="2" t="s">
        <v>814</v>
      </c>
      <c r="B272" s="3" t="s">
        <v>815</v>
      </c>
      <c r="C272" s="2" t="s">
        <v>816</v>
      </c>
      <c r="D272" s="3" t="s">
        <v>835</v>
      </c>
      <c r="E272" s="2" t="s">
        <v>836</v>
      </c>
      <c r="F272" s="3" t="s">
        <v>20</v>
      </c>
      <c r="G272" s="3"/>
      <c r="H272" s="3" t="s">
        <v>837</v>
      </c>
      <c r="I272" s="3" t="s">
        <v>116</v>
      </c>
      <c r="J272" s="4" t="s">
        <v>23</v>
      </c>
      <c r="K272" s="4"/>
      <c r="L272" s="4"/>
      <c r="M272" s="4"/>
      <c r="N272" s="4"/>
      <c r="O272" s="5"/>
    </row>
    <row r="273" customFormat="false" ht="27.75" hidden="false" customHeight="true" outlineLevel="0" collapsed="false">
      <c r="A273" s="2" t="s">
        <v>814</v>
      </c>
      <c r="B273" s="3" t="s">
        <v>815</v>
      </c>
      <c r="C273" s="2" t="s">
        <v>816</v>
      </c>
      <c r="D273" s="3" t="s">
        <v>838</v>
      </c>
      <c r="E273" s="2" t="s">
        <v>839</v>
      </c>
      <c r="F273" s="3" t="s">
        <v>81</v>
      </c>
      <c r="G273" s="3"/>
      <c r="H273" s="3"/>
      <c r="I273" s="3"/>
      <c r="J273" s="4" t="s">
        <v>23</v>
      </c>
      <c r="K273" s="4"/>
      <c r="L273" s="4"/>
      <c r="M273" s="4"/>
      <c r="N273" s="4"/>
      <c r="O273" s="5"/>
    </row>
    <row r="274" customFormat="false" ht="27.75" hidden="false" customHeight="true" outlineLevel="0" collapsed="false">
      <c r="A274" s="2" t="s">
        <v>840</v>
      </c>
      <c r="B274" s="3" t="s">
        <v>841</v>
      </c>
      <c r="C274" s="2" t="s">
        <v>842</v>
      </c>
      <c r="D274" s="3" t="s">
        <v>843</v>
      </c>
      <c r="E274" s="2" t="s">
        <v>844</v>
      </c>
      <c r="F274" s="3" t="s">
        <v>81</v>
      </c>
      <c r="G274" s="3"/>
      <c r="H274" s="3"/>
      <c r="I274" s="3"/>
      <c r="J274" s="4" t="s">
        <v>23</v>
      </c>
      <c r="K274" s="4"/>
      <c r="L274" s="4"/>
      <c r="M274" s="4"/>
      <c r="N274" s="4"/>
      <c r="O274" s="5"/>
    </row>
    <row r="275" customFormat="false" ht="27.75" hidden="false" customHeight="true" outlineLevel="0" collapsed="false">
      <c r="A275" s="2" t="s">
        <v>840</v>
      </c>
      <c r="B275" s="3" t="s">
        <v>841</v>
      </c>
      <c r="C275" s="2" t="s">
        <v>842</v>
      </c>
      <c r="D275" s="3" t="s">
        <v>845</v>
      </c>
      <c r="E275" s="2" t="s">
        <v>846</v>
      </c>
      <c r="F275" s="3" t="s">
        <v>81</v>
      </c>
      <c r="G275" s="3"/>
      <c r="H275" s="3"/>
      <c r="I275" s="3"/>
      <c r="J275" s="4" t="s">
        <v>23</v>
      </c>
      <c r="K275" s="4"/>
      <c r="L275" s="4"/>
      <c r="M275" s="4"/>
      <c r="N275" s="4"/>
      <c r="O275" s="5"/>
    </row>
    <row r="276" customFormat="false" ht="27.75" hidden="false" customHeight="true" outlineLevel="0" collapsed="false">
      <c r="A276" s="2" t="s">
        <v>840</v>
      </c>
      <c r="B276" s="3" t="s">
        <v>841</v>
      </c>
      <c r="C276" s="2" t="s">
        <v>842</v>
      </c>
      <c r="D276" s="3" t="s">
        <v>847</v>
      </c>
      <c r="E276" s="2" t="s">
        <v>848</v>
      </c>
      <c r="F276" s="3" t="s">
        <v>20</v>
      </c>
      <c r="G276" s="3" t="s">
        <v>39</v>
      </c>
      <c r="H276" s="3" t="s">
        <v>849</v>
      </c>
      <c r="I276" s="3"/>
      <c r="J276" s="4" t="s">
        <v>23</v>
      </c>
      <c r="K276" s="4"/>
      <c r="L276" s="4"/>
      <c r="M276" s="4"/>
      <c r="N276" s="4"/>
      <c r="O276" s="5"/>
    </row>
    <row r="277" customFormat="false" ht="27.75" hidden="false" customHeight="true" outlineLevel="0" collapsed="false">
      <c r="A277" s="2" t="s">
        <v>840</v>
      </c>
      <c r="B277" s="3" t="s">
        <v>841</v>
      </c>
      <c r="C277" s="2" t="s">
        <v>842</v>
      </c>
      <c r="D277" s="3" t="s">
        <v>850</v>
      </c>
      <c r="E277" s="2" t="s">
        <v>851</v>
      </c>
      <c r="F277" s="3" t="s">
        <v>81</v>
      </c>
      <c r="G277" s="3"/>
      <c r="H277" s="3"/>
      <c r="I277" s="3"/>
      <c r="J277" s="4" t="s">
        <v>23</v>
      </c>
      <c r="K277" s="4"/>
      <c r="L277" s="4"/>
      <c r="M277" s="4"/>
      <c r="N277" s="4"/>
      <c r="O277" s="5"/>
    </row>
    <row r="278" customFormat="false" ht="27.75" hidden="false" customHeight="true" outlineLevel="0" collapsed="false">
      <c r="A278" s="2" t="s">
        <v>840</v>
      </c>
      <c r="B278" s="3" t="s">
        <v>841</v>
      </c>
      <c r="C278" s="2" t="s">
        <v>842</v>
      </c>
      <c r="D278" s="3" t="s">
        <v>852</v>
      </c>
      <c r="E278" s="2" t="s">
        <v>853</v>
      </c>
      <c r="F278" s="3" t="s">
        <v>81</v>
      </c>
      <c r="G278" s="3"/>
      <c r="H278" s="3"/>
      <c r="I278" s="3"/>
      <c r="J278" s="4" t="s">
        <v>23</v>
      </c>
      <c r="K278" s="4"/>
      <c r="L278" s="4"/>
      <c r="M278" s="4"/>
      <c r="N278" s="4"/>
      <c r="O278" s="5"/>
    </row>
    <row r="279" customFormat="false" ht="27.75" hidden="false" customHeight="true" outlineLevel="0" collapsed="false">
      <c r="A279" s="2" t="s">
        <v>840</v>
      </c>
      <c r="B279" s="3" t="s">
        <v>854</v>
      </c>
      <c r="C279" s="2" t="s">
        <v>855</v>
      </c>
      <c r="D279" s="3" t="s">
        <v>856</v>
      </c>
      <c r="E279" s="2" t="s">
        <v>857</v>
      </c>
      <c r="F279" s="3" t="s">
        <v>20</v>
      </c>
      <c r="G279" s="3" t="s">
        <v>21</v>
      </c>
      <c r="H279" s="3" t="s">
        <v>858</v>
      </c>
      <c r="I279" s="3"/>
      <c r="J279" s="4" t="s">
        <v>23</v>
      </c>
      <c r="K279" s="4"/>
      <c r="L279" s="4"/>
      <c r="M279" s="4"/>
      <c r="N279" s="4"/>
      <c r="O279" s="5"/>
    </row>
    <row r="280" customFormat="false" ht="27.75" hidden="false" customHeight="true" outlineLevel="0" collapsed="false">
      <c r="A280" s="2" t="s">
        <v>840</v>
      </c>
      <c r="B280" s="3" t="s">
        <v>854</v>
      </c>
      <c r="C280" s="2" t="s">
        <v>855</v>
      </c>
      <c r="D280" s="3" t="s">
        <v>859</v>
      </c>
      <c r="E280" s="2" t="s">
        <v>860</v>
      </c>
      <c r="F280" s="3" t="s">
        <v>20</v>
      </c>
      <c r="G280" s="3"/>
      <c r="H280" s="3" t="s">
        <v>861</v>
      </c>
      <c r="I280" s="3"/>
      <c r="J280" s="4" t="s">
        <v>23</v>
      </c>
      <c r="K280" s="4"/>
      <c r="L280" s="4"/>
      <c r="M280" s="4"/>
      <c r="N280" s="4"/>
      <c r="O280" s="5"/>
    </row>
    <row r="281" customFormat="false" ht="27.75" hidden="false" customHeight="true" outlineLevel="0" collapsed="false">
      <c r="A281" s="2" t="s">
        <v>840</v>
      </c>
      <c r="B281" s="3" t="s">
        <v>854</v>
      </c>
      <c r="C281" s="2" t="s">
        <v>855</v>
      </c>
      <c r="D281" s="3" t="s">
        <v>862</v>
      </c>
      <c r="E281" s="2" t="s">
        <v>863</v>
      </c>
      <c r="F281" s="3" t="s">
        <v>20</v>
      </c>
      <c r="G281" s="3" t="s">
        <v>21</v>
      </c>
      <c r="H281" s="3" t="s">
        <v>864</v>
      </c>
      <c r="I281" s="3"/>
      <c r="J281" s="4" t="s">
        <v>23</v>
      </c>
      <c r="K281" s="4"/>
      <c r="L281" s="4"/>
      <c r="M281" s="4"/>
      <c r="N281" s="4"/>
      <c r="O281" s="5"/>
    </row>
    <row r="282" customFormat="false" ht="27.75" hidden="false" customHeight="true" outlineLevel="0" collapsed="false">
      <c r="A282" s="2" t="s">
        <v>840</v>
      </c>
      <c r="B282" s="3" t="s">
        <v>854</v>
      </c>
      <c r="C282" s="2" t="s">
        <v>855</v>
      </c>
      <c r="D282" s="3" t="s">
        <v>865</v>
      </c>
      <c r="E282" s="2" t="s">
        <v>866</v>
      </c>
      <c r="F282" s="3" t="s">
        <v>20</v>
      </c>
      <c r="G282" s="3" t="s">
        <v>39</v>
      </c>
      <c r="H282" s="3" t="s">
        <v>867</v>
      </c>
      <c r="I282" s="3" t="s">
        <v>116</v>
      </c>
      <c r="J282" s="4" t="s">
        <v>23</v>
      </c>
      <c r="K282" s="4"/>
      <c r="L282" s="4"/>
      <c r="M282" s="4"/>
      <c r="N282" s="4"/>
      <c r="O282" s="5"/>
    </row>
    <row r="283" customFormat="false" ht="27.75" hidden="false" customHeight="true" outlineLevel="0" collapsed="false">
      <c r="A283" s="2" t="s">
        <v>840</v>
      </c>
      <c r="B283" s="3" t="s">
        <v>854</v>
      </c>
      <c r="C283" s="2" t="s">
        <v>855</v>
      </c>
      <c r="D283" s="3" t="s">
        <v>868</v>
      </c>
      <c r="E283" s="2" t="s">
        <v>869</v>
      </c>
      <c r="F283" s="3" t="s">
        <v>43</v>
      </c>
      <c r="G283" s="3"/>
      <c r="H283" s="3"/>
      <c r="I283" s="3"/>
      <c r="J283" s="4" t="s">
        <v>23</v>
      </c>
      <c r="K283" s="4"/>
      <c r="L283" s="4"/>
      <c r="M283" s="4"/>
      <c r="N283" s="4"/>
      <c r="O283" s="5"/>
    </row>
    <row r="284" customFormat="false" ht="27.75" hidden="false" customHeight="true" outlineLevel="0" collapsed="false">
      <c r="A284" s="2" t="s">
        <v>840</v>
      </c>
      <c r="B284" s="3" t="s">
        <v>854</v>
      </c>
      <c r="C284" s="2" t="s">
        <v>855</v>
      </c>
      <c r="D284" s="3" t="s">
        <v>870</v>
      </c>
      <c r="E284" s="2" t="s">
        <v>871</v>
      </c>
      <c r="F284" s="3" t="s">
        <v>20</v>
      </c>
      <c r="G284" s="3" t="s">
        <v>39</v>
      </c>
      <c r="H284" s="3" t="s">
        <v>872</v>
      </c>
      <c r="I284" s="3"/>
      <c r="J284" s="4" t="s">
        <v>23</v>
      </c>
      <c r="K284" s="4"/>
      <c r="L284" s="4"/>
      <c r="M284" s="4"/>
      <c r="N284" s="4"/>
      <c r="O284" s="5"/>
    </row>
    <row r="285" customFormat="false" ht="27.75" hidden="false" customHeight="true" outlineLevel="0" collapsed="false">
      <c r="A285" s="2" t="s">
        <v>840</v>
      </c>
      <c r="B285" s="3" t="s">
        <v>854</v>
      </c>
      <c r="C285" s="2" t="s">
        <v>855</v>
      </c>
      <c r="D285" s="3" t="s">
        <v>873</v>
      </c>
      <c r="E285" s="2" t="s">
        <v>874</v>
      </c>
      <c r="F285" s="3" t="s">
        <v>43</v>
      </c>
      <c r="G285" s="3"/>
      <c r="H285" s="3"/>
      <c r="I285" s="3"/>
      <c r="J285" s="4" t="s">
        <v>23</v>
      </c>
      <c r="K285" s="4"/>
      <c r="L285" s="4"/>
      <c r="M285" s="4"/>
      <c r="N285" s="4"/>
      <c r="O285" s="5"/>
    </row>
    <row r="286" customFormat="false" ht="27.75" hidden="false" customHeight="true" outlineLevel="0" collapsed="false">
      <c r="A286" s="2" t="s">
        <v>840</v>
      </c>
      <c r="B286" s="3" t="s">
        <v>875</v>
      </c>
      <c r="C286" s="2" t="s">
        <v>876</v>
      </c>
      <c r="D286" s="3" t="s">
        <v>877</v>
      </c>
      <c r="E286" s="2" t="s">
        <v>878</v>
      </c>
      <c r="F286" s="3" t="s">
        <v>20</v>
      </c>
      <c r="G286" s="3"/>
      <c r="H286" s="3" t="s">
        <v>879</v>
      </c>
      <c r="I286" s="3"/>
      <c r="J286" s="4" t="s">
        <v>23</v>
      </c>
      <c r="K286" s="4"/>
      <c r="L286" s="4"/>
      <c r="M286" s="4"/>
      <c r="N286" s="4"/>
      <c r="O286" s="5"/>
    </row>
    <row r="287" customFormat="false" ht="27.75" hidden="false" customHeight="true" outlineLevel="0" collapsed="false">
      <c r="A287" s="2" t="s">
        <v>840</v>
      </c>
      <c r="B287" s="3" t="s">
        <v>875</v>
      </c>
      <c r="C287" s="2" t="s">
        <v>876</v>
      </c>
      <c r="D287" s="3" t="s">
        <v>880</v>
      </c>
      <c r="E287" s="2" t="s">
        <v>881</v>
      </c>
      <c r="F287" s="3" t="s">
        <v>35</v>
      </c>
      <c r="G287" s="3" t="s">
        <v>39</v>
      </c>
      <c r="H287" s="3" t="s">
        <v>882</v>
      </c>
      <c r="I287" s="3"/>
      <c r="J287" s="4" t="s">
        <v>23</v>
      </c>
      <c r="K287" s="4"/>
      <c r="L287" s="4"/>
      <c r="M287" s="4"/>
      <c r="N287" s="4"/>
      <c r="O287" s="5"/>
    </row>
    <row r="288" customFormat="false" ht="27.75" hidden="false" customHeight="true" outlineLevel="0" collapsed="false">
      <c r="A288" s="2" t="s">
        <v>840</v>
      </c>
      <c r="B288" s="3" t="s">
        <v>875</v>
      </c>
      <c r="C288" s="2" t="s">
        <v>876</v>
      </c>
      <c r="D288" s="3" t="s">
        <v>883</v>
      </c>
      <c r="E288" s="2" t="s">
        <v>884</v>
      </c>
      <c r="F288" s="3" t="s">
        <v>81</v>
      </c>
      <c r="G288" s="3"/>
      <c r="H288" s="3"/>
      <c r="I288" s="3"/>
      <c r="J288" s="4" t="s">
        <v>23</v>
      </c>
      <c r="K288" s="4"/>
      <c r="L288" s="4"/>
      <c r="M288" s="4"/>
      <c r="N288" s="4"/>
      <c r="O288" s="5"/>
    </row>
    <row r="289" customFormat="false" ht="27.75" hidden="false" customHeight="true" outlineLevel="0" collapsed="false">
      <c r="A289" s="2" t="s">
        <v>840</v>
      </c>
      <c r="B289" s="3" t="s">
        <v>875</v>
      </c>
      <c r="C289" s="2" t="s">
        <v>876</v>
      </c>
      <c r="D289" s="3" t="s">
        <v>885</v>
      </c>
      <c r="E289" s="2" t="s">
        <v>886</v>
      </c>
      <c r="F289" s="3" t="s">
        <v>81</v>
      </c>
      <c r="G289" s="3"/>
      <c r="H289" s="3"/>
      <c r="I289" s="3"/>
      <c r="J289" s="4" t="s">
        <v>23</v>
      </c>
      <c r="K289" s="4"/>
      <c r="L289" s="4"/>
      <c r="M289" s="4"/>
      <c r="N289" s="4"/>
      <c r="O289" s="5"/>
    </row>
    <row r="290" customFormat="false" ht="27.75" hidden="false" customHeight="true" outlineLevel="0" collapsed="false">
      <c r="A290" s="2" t="s">
        <v>840</v>
      </c>
      <c r="B290" s="3" t="s">
        <v>875</v>
      </c>
      <c r="C290" s="2" t="s">
        <v>876</v>
      </c>
      <c r="D290" s="3" t="s">
        <v>887</v>
      </c>
      <c r="E290" s="2" t="s">
        <v>888</v>
      </c>
      <c r="F290" s="3" t="s">
        <v>20</v>
      </c>
      <c r="G290" s="3"/>
      <c r="H290" s="3" t="s">
        <v>889</v>
      </c>
      <c r="I290" s="3"/>
      <c r="J290" s="4" t="s">
        <v>23</v>
      </c>
      <c r="K290" s="4"/>
      <c r="L290" s="4"/>
      <c r="M290" s="4"/>
      <c r="N290" s="4"/>
      <c r="O290" s="5"/>
    </row>
    <row r="291" customFormat="false" ht="27.75" hidden="false" customHeight="true" outlineLevel="0" collapsed="false">
      <c r="A291" s="2" t="s">
        <v>840</v>
      </c>
      <c r="B291" s="3" t="s">
        <v>875</v>
      </c>
      <c r="C291" s="2" t="s">
        <v>876</v>
      </c>
      <c r="D291" s="3" t="s">
        <v>890</v>
      </c>
      <c r="E291" s="2" t="s">
        <v>891</v>
      </c>
      <c r="F291" s="3" t="s">
        <v>81</v>
      </c>
      <c r="G291" s="3"/>
      <c r="H291" s="3"/>
      <c r="I291" s="3"/>
      <c r="J291" s="4" t="s">
        <v>23</v>
      </c>
      <c r="K291" s="4"/>
      <c r="L291" s="4"/>
      <c r="M291" s="4"/>
      <c r="N291" s="4"/>
      <c r="O291" s="5"/>
    </row>
  </sheetData>
  <autoFilter ref="A1:O291"/>
  <dataValidations count="1">
    <dataValidation allowBlank="false" errorStyle="stop" operator="between" showDropDown="false" showErrorMessage="false" showInputMessage="false" sqref="J2:J291" type="list">
      <formula1>"Not started,In progress,PR submitted,Compliant,N/A"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4"/>
  </cols>
  <sheetData>
    <row r="1" customFormat="false" ht="15" hidden="false" customHeight="false" outlineLevel="0" collapsed="false">
      <c r="A1" s="6" t="s">
        <v>892</v>
      </c>
      <c r="B1" s="7"/>
      <c r="C1" s="7"/>
      <c r="D1" s="7"/>
    </row>
    <row r="2" customFormat="false" ht="15" hidden="false" customHeight="false" outlineLevel="0" collapsed="false">
      <c r="A2" s="8" t="s">
        <v>893</v>
      </c>
      <c r="B2" s="7"/>
      <c r="C2" s="7"/>
      <c r="D2" s="7"/>
    </row>
    <row r="3" customFormat="false" ht="15" hidden="false" customHeight="false" outlineLevel="0" collapsed="false">
      <c r="A3" s="7"/>
      <c r="B3" s="7"/>
      <c r="C3" s="7"/>
      <c r="D3" s="7"/>
    </row>
    <row r="4" customFormat="false" ht="15" hidden="false" customHeight="false" outlineLevel="0" collapsed="false">
      <c r="A4" s="6" t="s">
        <v>894</v>
      </c>
      <c r="B4" s="7"/>
      <c r="C4" s="7"/>
      <c r="D4" s="7"/>
    </row>
    <row r="5" customFormat="false" ht="15" hidden="false" customHeight="false" outlineLevel="0" collapsed="false">
      <c r="A5" s="7" t="s">
        <v>895</v>
      </c>
      <c r="B5" s="7" t="n">
        <f aca="false">COUNTA(Tracker!D2:D291)</f>
        <v>290</v>
      </c>
      <c r="C5" s="7"/>
      <c r="D5" s="7"/>
    </row>
    <row r="6" customFormat="false" ht="15" hidden="false" customHeight="false" outlineLevel="0" collapsed="false">
      <c r="A6" s="7" t="s">
        <v>23</v>
      </c>
      <c r="B6" s="7" t="n">
        <f aca="false">COUNTIF(Tracker!$J$2:$J$291,A6)</f>
        <v>290</v>
      </c>
      <c r="C6" s="9" t="n">
        <f aca="false">IFERROR(B6/$B$5,0)</f>
        <v>1</v>
      </c>
      <c r="D6" s="7"/>
    </row>
    <row r="7" customFormat="false" ht="15" hidden="false" customHeight="false" outlineLevel="0" collapsed="false">
      <c r="A7" s="7" t="s">
        <v>896</v>
      </c>
      <c r="B7" s="7" t="n">
        <f aca="false">COUNTIF(Tracker!$J$2:$J$291,A7)</f>
        <v>0</v>
      </c>
      <c r="C7" s="9" t="n">
        <f aca="false">IFERROR(B7/$B$5,0)</f>
        <v>0</v>
      </c>
      <c r="D7" s="7"/>
    </row>
    <row r="8" customFormat="false" ht="15" hidden="false" customHeight="false" outlineLevel="0" collapsed="false">
      <c r="A8" s="7" t="s">
        <v>897</v>
      </c>
      <c r="B8" s="7" t="n">
        <f aca="false">COUNTIF(Tracker!$J$2:$J$291,A8)</f>
        <v>0</v>
      </c>
      <c r="C8" s="9" t="n">
        <f aca="false">IFERROR(B8/$B$5,0)</f>
        <v>0</v>
      </c>
      <c r="D8" s="7"/>
    </row>
    <row r="9" customFormat="false" ht="15" hidden="false" customHeight="false" outlineLevel="0" collapsed="false">
      <c r="A9" s="7" t="s">
        <v>898</v>
      </c>
      <c r="B9" s="7" t="n">
        <f aca="false">COUNTIF(Tracker!$J$2:$J$291,A9)</f>
        <v>0</v>
      </c>
      <c r="C9" s="9" t="n">
        <f aca="false">IFERROR(B9/$B$5,0)</f>
        <v>0</v>
      </c>
      <c r="D9" s="7"/>
    </row>
    <row r="10" customFormat="false" ht="15" hidden="false" customHeight="false" outlineLevel="0" collapsed="false">
      <c r="A10" s="7" t="s">
        <v>899</v>
      </c>
      <c r="B10" s="7" t="n">
        <f aca="false">COUNTIF(Tracker!$J$2:$J$291,A10)</f>
        <v>0</v>
      </c>
      <c r="C10" s="9" t="n">
        <f aca="false">IFERROR(B10/$B$5,0)</f>
        <v>0</v>
      </c>
      <c r="D10" s="7"/>
    </row>
    <row r="11" customFormat="false" ht="15" hidden="false" customHeight="false" outlineLevel="0" collapsed="false">
      <c r="A11" s="10" t="s">
        <v>900</v>
      </c>
      <c r="B11" s="11" t="n">
        <f aca="false">IFERROR(COUNTIF(Tracker!$J$2:$J$291,"Compliant")/$B$5,0)</f>
        <v>0</v>
      </c>
      <c r="C11" s="7"/>
      <c r="D11" s="7"/>
    </row>
    <row r="12" customFormat="false" ht="15" hidden="false" customHeight="false" outlineLevel="0" collapsed="false">
      <c r="A12" s="7"/>
      <c r="B12" s="7"/>
      <c r="C12" s="7"/>
      <c r="D12" s="7"/>
    </row>
    <row r="13" customFormat="false" ht="15" hidden="false" customHeight="false" outlineLevel="0" collapsed="false">
      <c r="A13" s="6" t="s">
        <v>901</v>
      </c>
      <c r="B13" s="7"/>
      <c r="C13" s="7"/>
      <c r="D13" s="7"/>
    </row>
    <row r="14" customFormat="false" ht="15" hidden="false" customHeight="false" outlineLevel="0" collapsed="false">
      <c r="A14" s="10" t="s">
        <v>5</v>
      </c>
      <c r="B14" s="10" t="s">
        <v>902</v>
      </c>
      <c r="C14" s="10" t="s">
        <v>898</v>
      </c>
      <c r="D14" s="10" t="s">
        <v>903</v>
      </c>
    </row>
    <row r="15" customFormat="false" ht="15" hidden="false" customHeight="false" outlineLevel="0" collapsed="false">
      <c r="A15" s="7" t="s">
        <v>35</v>
      </c>
      <c r="B15" s="7" t="n">
        <f aca="false">COUNTIF(Tracker!$F$2:$F$291,A15)</f>
        <v>41</v>
      </c>
      <c r="C15" s="7" t="n">
        <f aca="false">COUNTIFS(Tracker!$F$2:$F$291,A15,Tracker!$J$2:$J$291,"Compliant")</f>
        <v>0</v>
      </c>
      <c r="D15" s="9" t="n">
        <f aca="false">IFERROR(C15/B15,0)</f>
        <v>0</v>
      </c>
    </row>
    <row r="16" customFormat="false" ht="15" hidden="false" customHeight="false" outlineLevel="0" collapsed="false">
      <c r="A16" s="7" t="s">
        <v>20</v>
      </c>
      <c r="B16" s="7" t="n">
        <f aca="false">COUNTIF(Tracker!$F$2:$F$291,A16)</f>
        <v>147</v>
      </c>
      <c r="C16" s="7" t="n">
        <f aca="false">COUNTIFS(Tracker!$F$2:$F$291,A16,Tracker!$J$2:$J$291,"Compliant")</f>
        <v>0</v>
      </c>
      <c r="D16" s="9" t="n">
        <f aca="false">IFERROR(C16/B16,0)</f>
        <v>0</v>
      </c>
    </row>
    <row r="17" customFormat="false" ht="15" hidden="false" customHeight="false" outlineLevel="0" collapsed="false">
      <c r="A17" s="7" t="s">
        <v>43</v>
      </c>
      <c r="B17" s="7" t="n">
        <f aca="false">COUNTIF(Tracker!$F$2:$F$291,A17)</f>
        <v>30</v>
      </c>
      <c r="C17" s="7" t="n">
        <f aca="false">COUNTIFS(Tracker!$F$2:$F$291,A17,Tracker!$J$2:$J$291,"Compliant")</f>
        <v>0</v>
      </c>
      <c r="D17" s="9" t="n">
        <f aca="false">IFERROR(C17/B17,0)</f>
        <v>0</v>
      </c>
    </row>
    <row r="18" customFormat="false" ht="15" hidden="false" customHeight="false" outlineLevel="0" collapsed="false">
      <c r="A18" s="7" t="s">
        <v>81</v>
      </c>
      <c r="B18" s="7" t="n">
        <f aca="false">COUNTIF(Tracker!$F$2:$F$291,A18)</f>
        <v>72</v>
      </c>
      <c r="C18" s="7" t="n">
        <f aca="false">COUNTIFS(Tracker!$F$2:$F$291,A18,Tracker!$J$2:$J$291,"Compliant")</f>
        <v>0</v>
      </c>
      <c r="D18" s="9" t="n">
        <f aca="false">IFERROR(C18/B18,0)</f>
        <v>0</v>
      </c>
    </row>
    <row r="19" customFormat="false" ht="15" hidden="false" customHeight="false" outlineLevel="0" collapsed="false">
      <c r="A19" s="7"/>
      <c r="B19" s="7"/>
      <c r="C19" s="7"/>
      <c r="D19" s="7"/>
    </row>
    <row r="20" customFormat="false" ht="15" hidden="false" customHeight="false" outlineLevel="0" collapsed="false">
      <c r="A20" s="6" t="s">
        <v>904</v>
      </c>
      <c r="B20" s="7"/>
      <c r="C20" s="7"/>
      <c r="D20" s="7"/>
    </row>
    <row r="21" customFormat="false" ht="15" hidden="false" customHeight="false" outlineLevel="0" collapsed="false">
      <c r="A21" s="10" t="s">
        <v>6</v>
      </c>
      <c r="B21" s="10" t="s">
        <v>902</v>
      </c>
      <c r="C21" s="10" t="s">
        <v>898</v>
      </c>
      <c r="D21" s="10" t="s">
        <v>903</v>
      </c>
    </row>
    <row r="22" customFormat="false" ht="15" hidden="false" customHeight="false" outlineLevel="0" collapsed="false">
      <c r="A22" s="7" t="s">
        <v>21</v>
      </c>
      <c r="B22" s="7" t="n">
        <f aca="false">COUNTIF(Tracker!$G$2:$G$291,A22)</f>
        <v>67</v>
      </c>
      <c r="C22" s="7" t="n">
        <f aca="false">COUNTIFS(Tracker!$G$2:$G$291,A22,Tracker!$J$2:$J$291,"Compliant")</f>
        <v>0</v>
      </c>
      <c r="D22" s="9" t="n">
        <f aca="false">IFERROR(C22/B22,0)</f>
        <v>0</v>
      </c>
    </row>
    <row r="23" customFormat="false" ht="15" hidden="false" customHeight="false" outlineLevel="0" collapsed="false">
      <c r="A23" s="7" t="s">
        <v>39</v>
      </c>
      <c r="B23" s="7" t="n">
        <f aca="false">COUNTIF(Tracker!$G$2:$G$291,A23)</f>
        <v>91</v>
      </c>
      <c r="C23" s="7" t="n">
        <f aca="false">COUNTIFS(Tracker!$G$2:$G$291,A23,Tracker!$J$2:$J$291,"Compliant")</f>
        <v>0</v>
      </c>
      <c r="D23" s="9" t="n">
        <f aca="false">IFERROR(C23/B23,0)</f>
        <v>0</v>
      </c>
    </row>
    <row r="24" customFormat="false" ht="15" hidden="false" customHeight="false" outlineLevel="0" collapsed="false">
      <c r="A24" s="7"/>
      <c r="B24" s="7"/>
      <c r="C24" s="7"/>
      <c r="D24" s="7"/>
    </row>
    <row r="25" customFormat="false" ht="15" hidden="false" customHeight="false" outlineLevel="0" collapsed="false">
      <c r="A25" s="6" t="s">
        <v>905</v>
      </c>
      <c r="B25" s="7"/>
      <c r="C25" s="7"/>
      <c r="D25" s="7"/>
    </row>
    <row r="26" customFormat="false" ht="15" hidden="false" customHeight="false" outlineLevel="0" collapsed="false">
      <c r="A26" s="7" t="s">
        <v>906</v>
      </c>
      <c r="B26" s="7" t="n">
        <f aca="false">COUNTIF(Tracker!$J$2:$J$291,"Not started")+COUNTIF(Tracker!$J$2:$J$291,"In progress")</f>
        <v>290</v>
      </c>
      <c r="C26" s="7"/>
      <c r="D26" s="7"/>
    </row>
    <row r="27" customFormat="false" ht="15" hidden="false" customHeight="false" outlineLevel="0" collapsed="false">
      <c r="A27" s="7" t="s">
        <v>907</v>
      </c>
      <c r="B27" s="7" t="n">
        <f aca="false">COUNTIF(Tracker!$J$2:$J$291,"PR submitted")</f>
        <v>0</v>
      </c>
      <c r="C27" s="7"/>
      <c r="D27" s="7"/>
    </row>
    <row r="28" customFormat="false" ht="15" hidden="false" customHeight="false" outlineLevel="0" collapsed="false">
      <c r="A28" s="7" t="s">
        <v>908</v>
      </c>
      <c r="B28" s="7" t="n">
        <f aca="false">COUNTIF(Tracker!$J$2:$J$291,"Compliant")</f>
        <v>0</v>
      </c>
      <c r="C28" s="7"/>
      <c r="D28" s="7"/>
    </row>
    <row r="29" customFormat="false" ht="15" hidden="false" customHeight="false" outlineLevel="0" collapsed="false">
      <c r="A29" s="7" t="s">
        <v>909</v>
      </c>
      <c r="B29" s="7" t="n">
        <f aca="false">COUNTIF(Tracker!$J$2:$J$291,"N/A")</f>
        <v>0</v>
      </c>
      <c r="C29" s="7"/>
      <c r="D29" s="7"/>
    </row>
    <row r="30" customFormat="false" ht="15" hidden="false" customHeight="false" outlineLevel="0" collapsed="false">
      <c r="A30" s="8" t="s">
        <v>910</v>
      </c>
      <c r="B30" s="7"/>
      <c r="C30" s="7"/>
      <c r="D30" s="7"/>
    </row>
    <row r="31" customFormat="false" ht="15" hidden="false" customHeight="false" outlineLevel="0" collapsed="false">
      <c r="A31" s="7"/>
      <c r="B31" s="7"/>
      <c r="C31" s="7"/>
      <c r="D31" s="7"/>
    </row>
    <row r="32" customFormat="false" ht="15" hidden="false" customHeight="false" outlineLevel="0" collapsed="false">
      <c r="A32" s="6" t="s">
        <v>911</v>
      </c>
      <c r="B32" s="7"/>
      <c r="C32" s="7"/>
      <c r="D32" s="7"/>
    </row>
    <row r="33" customFormat="false" ht="15" hidden="false" customHeight="false" outlineLevel="0" collapsed="false">
      <c r="A33" s="10" t="s">
        <v>1</v>
      </c>
      <c r="B33" s="10" t="s">
        <v>912</v>
      </c>
      <c r="C33" s="10" t="s">
        <v>898</v>
      </c>
      <c r="D33" s="10" t="s">
        <v>913</v>
      </c>
    </row>
    <row r="34" customFormat="false" ht="15" hidden="false" customHeight="false" outlineLevel="0" collapsed="false">
      <c r="A34" s="7" t="s">
        <v>16</v>
      </c>
      <c r="B34" s="7" t="n">
        <f aca="false">COUNTIF(Tracker!$B$2:$B$291,A34)</f>
        <v>7</v>
      </c>
      <c r="C34" s="7" t="n">
        <f aca="false">COUNTIFS(Tracker!$B$2:$B$291,A34,Tracker!$J$2:$J$291,"Compliant")</f>
        <v>0</v>
      </c>
      <c r="D34" s="7" t="str">
        <f aca="false">IF(B34=C34,"MET","not met")</f>
        <v>not met</v>
      </c>
    </row>
    <row r="35" customFormat="false" ht="15" hidden="false" customHeight="false" outlineLevel="0" collapsed="false">
      <c r="A35" s="7" t="s">
        <v>44</v>
      </c>
      <c r="B35" s="7" t="n">
        <f aca="false">COUNTIF(Tracker!$B$2:$B$291,A35)</f>
        <v>5</v>
      </c>
      <c r="C35" s="7" t="n">
        <f aca="false">COUNTIFS(Tracker!$B$2:$B$291,A35,Tracker!$J$2:$J$291,"Compliant")</f>
        <v>0</v>
      </c>
      <c r="D35" s="7" t="str">
        <f aca="false">IF(B35=C35,"MET","not met")</f>
        <v>not met</v>
      </c>
    </row>
    <row r="36" customFormat="false" ht="15" hidden="false" customHeight="false" outlineLevel="0" collapsed="false">
      <c r="A36" s="7" t="s">
        <v>59</v>
      </c>
      <c r="B36" s="7" t="n">
        <f aca="false">COUNTIF(Tracker!$B$2:$B$291,A36)</f>
        <v>7</v>
      </c>
      <c r="C36" s="7" t="n">
        <f aca="false">COUNTIFS(Tracker!$B$2:$B$291,A36,Tracker!$J$2:$J$291,"Compliant")</f>
        <v>0</v>
      </c>
      <c r="D36" s="7" t="str">
        <f aca="false">IF(B36=C36,"MET","not met")</f>
        <v>not met</v>
      </c>
    </row>
    <row r="37" customFormat="false" ht="15" hidden="false" customHeight="false" outlineLevel="0" collapsed="false">
      <c r="A37" s="7" t="s">
        <v>82</v>
      </c>
      <c r="B37" s="7" t="n">
        <f aca="false">COUNTIF(Tracker!$B$2:$B$291,A37)</f>
        <v>6</v>
      </c>
      <c r="C37" s="7" t="n">
        <f aca="false">COUNTIFS(Tracker!$B$2:$B$291,A37,Tracker!$J$2:$J$291,"Compliant")</f>
        <v>0</v>
      </c>
      <c r="D37" s="7" t="str">
        <f aca="false">IF(B37=C37,"MET","not met")</f>
        <v>not met</v>
      </c>
    </row>
    <row r="38" customFormat="false" ht="15" hidden="false" customHeight="false" outlineLevel="0" collapsed="false">
      <c r="A38" s="7" t="s">
        <v>101</v>
      </c>
      <c r="B38" s="7" t="n">
        <f aca="false">COUNTIF(Tracker!$B$2:$B$291,A38)</f>
        <v>6</v>
      </c>
      <c r="C38" s="7" t="n">
        <f aca="false">COUNTIFS(Tracker!$B$2:$B$291,A38,Tracker!$J$2:$J$291,"Compliant")</f>
        <v>0</v>
      </c>
      <c r="D38" s="7" t="str">
        <f aca="false">IF(B38=C38,"MET","not met")</f>
        <v>not met</v>
      </c>
    </row>
    <row r="39" customFormat="false" ht="15" hidden="false" customHeight="false" outlineLevel="0" collapsed="false">
      <c r="A39" s="7" t="s">
        <v>120</v>
      </c>
      <c r="B39" s="7" t="n">
        <f aca="false">COUNTIF(Tracker!$B$2:$B$291,A39)</f>
        <v>4</v>
      </c>
      <c r="C39" s="7" t="n">
        <f aca="false">COUNTIFS(Tracker!$B$2:$B$291,A39,Tracker!$J$2:$J$291,"Compliant")</f>
        <v>0</v>
      </c>
      <c r="D39" s="7" t="str">
        <f aca="false">IF(B39=C39,"MET","not met")</f>
        <v>not met</v>
      </c>
    </row>
    <row r="40" customFormat="false" ht="15" hidden="false" customHeight="false" outlineLevel="0" collapsed="false">
      <c r="A40" s="7" t="s">
        <v>131</v>
      </c>
      <c r="B40" s="7" t="n">
        <f aca="false">COUNTIF(Tracker!$B$2:$B$291,A40)</f>
        <v>5</v>
      </c>
      <c r="C40" s="7" t="n">
        <f aca="false">COUNTIFS(Tracker!$B$2:$B$291,A40,Tracker!$J$2:$J$291,"Compliant")</f>
        <v>0</v>
      </c>
      <c r="D40" s="7" t="str">
        <f aca="false">IF(B40=C40,"MET","not met")</f>
        <v>not met</v>
      </c>
    </row>
    <row r="41" customFormat="false" ht="15" hidden="false" customHeight="false" outlineLevel="0" collapsed="false">
      <c r="A41" s="7" t="s">
        <v>146</v>
      </c>
      <c r="B41" s="7" t="n">
        <f aca="false">COUNTIF(Tracker!$B$2:$B$291,A41)</f>
        <v>11</v>
      </c>
      <c r="C41" s="7" t="n">
        <f aca="false">COUNTIFS(Tracker!$B$2:$B$291,A41,Tracker!$J$2:$J$291,"Compliant")</f>
        <v>0</v>
      </c>
      <c r="D41" s="7" t="str">
        <f aca="false">IF(B41=C41,"MET","not met")</f>
        <v>not met</v>
      </c>
    </row>
    <row r="42" customFormat="false" ht="15" hidden="false" customHeight="false" outlineLevel="0" collapsed="false">
      <c r="A42" s="7" t="s">
        <v>180</v>
      </c>
      <c r="B42" s="7" t="n">
        <f aca="false">COUNTIF(Tracker!$B$2:$B$291,A42)</f>
        <v>6</v>
      </c>
      <c r="C42" s="7" t="n">
        <f aca="false">COUNTIFS(Tracker!$B$2:$B$291,A42,Tracker!$J$2:$J$291,"Compliant")</f>
        <v>0</v>
      </c>
      <c r="D42" s="7" t="str">
        <f aca="false">IF(B42=C42,"MET","not met")</f>
        <v>not met</v>
      </c>
    </row>
    <row r="43" customFormat="false" ht="15" hidden="false" customHeight="false" outlineLevel="0" collapsed="false">
      <c r="A43" s="7" t="s">
        <v>199</v>
      </c>
      <c r="B43" s="7" t="n">
        <f aca="false">COUNTIF(Tracker!$B$2:$B$291,A43)</f>
        <v>6</v>
      </c>
      <c r="C43" s="7" t="n">
        <f aca="false">COUNTIFS(Tracker!$B$2:$B$291,A43,Tracker!$J$2:$J$291,"Compliant")</f>
        <v>0</v>
      </c>
      <c r="D43" s="7" t="str">
        <f aca="false">IF(B43=C43,"MET","not met")</f>
        <v>not met</v>
      </c>
    </row>
    <row r="44" customFormat="false" ht="15" hidden="false" customHeight="false" outlineLevel="0" collapsed="false">
      <c r="A44" s="7" t="s">
        <v>215</v>
      </c>
      <c r="B44" s="7" t="n">
        <f aca="false">COUNTIF(Tracker!$B$2:$B$291,A44)</f>
        <v>7</v>
      </c>
      <c r="C44" s="7" t="n">
        <f aca="false">COUNTIFS(Tracker!$B$2:$B$291,A44,Tracker!$J$2:$J$291,"Compliant")</f>
        <v>0</v>
      </c>
      <c r="D44" s="7" t="str">
        <f aca="false">IF(B44=C44,"MET","not met")</f>
        <v>not met</v>
      </c>
    </row>
    <row r="45" customFormat="false" ht="15" hidden="false" customHeight="false" outlineLevel="0" collapsed="false">
      <c r="A45" s="7" t="s">
        <v>234</v>
      </c>
      <c r="B45" s="7" t="n">
        <f aca="false">COUNTIF(Tracker!$B$2:$B$291,A45)</f>
        <v>9</v>
      </c>
      <c r="C45" s="7" t="n">
        <f aca="false">COUNTIFS(Tracker!$B$2:$B$291,A45,Tracker!$J$2:$J$291,"Compliant")</f>
        <v>0</v>
      </c>
      <c r="D45" s="7" t="str">
        <f aca="false">IF(B45=C45,"MET","not met")</f>
        <v>not met</v>
      </c>
    </row>
    <row r="46" customFormat="false" ht="15" hidden="false" customHeight="false" outlineLevel="0" collapsed="false">
      <c r="A46" s="7" t="s">
        <v>262</v>
      </c>
      <c r="B46" s="7" t="n">
        <f aca="false">COUNTIF(Tracker!$B$2:$B$291,A46)</f>
        <v>4</v>
      </c>
      <c r="C46" s="7" t="n">
        <f aca="false">COUNTIFS(Tracker!$B$2:$B$291,A46,Tracker!$J$2:$J$291,"Compliant")</f>
        <v>0</v>
      </c>
      <c r="D46" s="7" t="str">
        <f aca="false">IF(B46=C46,"MET","not met")</f>
        <v>not met</v>
      </c>
    </row>
    <row r="47" customFormat="false" ht="15" hidden="false" customHeight="false" outlineLevel="0" collapsed="false">
      <c r="A47" s="7" t="s">
        <v>273</v>
      </c>
      <c r="B47" s="7" t="n">
        <f aca="false">COUNTIF(Tracker!$B$2:$B$291,A47)</f>
        <v>10</v>
      </c>
      <c r="C47" s="7" t="n">
        <f aca="false">COUNTIFS(Tracker!$B$2:$B$291,A47,Tracker!$J$2:$J$291,"Compliant")</f>
        <v>0</v>
      </c>
      <c r="D47" s="7" t="str">
        <f aca="false">IF(B47=C47,"MET","not met")</f>
        <v>not met</v>
      </c>
    </row>
    <row r="48" customFormat="false" ht="15" hidden="false" customHeight="false" outlineLevel="0" collapsed="false">
      <c r="A48" s="7" t="s">
        <v>305</v>
      </c>
      <c r="B48" s="7" t="n">
        <f aca="false">COUNTIF(Tracker!$B$2:$B$291,A48)</f>
        <v>13</v>
      </c>
      <c r="C48" s="7" t="n">
        <f aca="false">COUNTIFS(Tracker!$B$2:$B$291,A48,Tracker!$J$2:$J$291,"Compliant")</f>
        <v>0</v>
      </c>
      <c r="D48" s="7" t="str">
        <f aca="false">IF(B48=C48,"MET","not met")</f>
        <v>not met</v>
      </c>
    </row>
    <row r="49" customFormat="false" ht="15" hidden="false" customHeight="false" outlineLevel="0" collapsed="false">
      <c r="A49" s="7" t="s">
        <v>345</v>
      </c>
      <c r="B49" s="7" t="n">
        <f aca="false">COUNTIF(Tracker!$B$2:$B$291,A49)</f>
        <v>9</v>
      </c>
      <c r="C49" s="7" t="n">
        <f aca="false">COUNTIFS(Tracker!$B$2:$B$291,A49,Tracker!$J$2:$J$291,"Compliant")</f>
        <v>0</v>
      </c>
      <c r="D49" s="7" t="str">
        <f aca="false">IF(B49=C49,"MET","not met")</f>
        <v>not met</v>
      </c>
    </row>
    <row r="50" customFormat="false" ht="15" hidden="false" customHeight="false" outlineLevel="0" collapsed="false">
      <c r="A50" s="7" t="s">
        <v>375</v>
      </c>
      <c r="B50" s="7" t="n">
        <f aca="false">COUNTIF(Tracker!$B$2:$B$291,A50)</f>
        <v>6</v>
      </c>
      <c r="C50" s="7" t="n">
        <f aca="false">COUNTIFS(Tracker!$B$2:$B$291,A50,Tracker!$J$2:$J$291,"Compliant")</f>
        <v>0</v>
      </c>
      <c r="D50" s="7" t="str">
        <f aca="false">IF(B50=C50,"MET","not met")</f>
        <v>not met</v>
      </c>
    </row>
    <row r="51" customFormat="false" ht="15" hidden="false" customHeight="false" outlineLevel="0" collapsed="false">
      <c r="A51" s="7" t="s">
        <v>393</v>
      </c>
      <c r="B51" s="7" t="n">
        <f aca="false">COUNTIF(Tracker!$B$2:$B$291,A51)</f>
        <v>8</v>
      </c>
      <c r="C51" s="7" t="n">
        <f aca="false">COUNTIFS(Tracker!$B$2:$B$291,A51,Tracker!$J$2:$J$291,"Compliant")</f>
        <v>0</v>
      </c>
      <c r="D51" s="7" t="str">
        <f aca="false">IF(B51=C51,"MET","not met")</f>
        <v>not met</v>
      </c>
    </row>
    <row r="52" customFormat="false" ht="15" hidden="false" customHeight="false" outlineLevel="0" collapsed="false">
      <c r="A52" s="7" t="s">
        <v>417</v>
      </c>
      <c r="B52" s="7" t="n">
        <f aca="false">COUNTIF(Tracker!$B$2:$B$291,A52)</f>
        <v>6</v>
      </c>
      <c r="C52" s="7" t="n">
        <f aca="false">COUNTIFS(Tracker!$B$2:$B$291,A52,Tracker!$J$2:$J$291,"Compliant")</f>
        <v>0</v>
      </c>
      <c r="D52" s="7" t="str">
        <f aca="false">IF(B52=C52,"MET","not met")</f>
        <v>not met</v>
      </c>
    </row>
    <row r="53" customFormat="false" ht="15" hidden="false" customHeight="false" outlineLevel="0" collapsed="false">
      <c r="A53" s="7" t="s">
        <v>434</v>
      </c>
      <c r="B53" s="7" t="n">
        <f aca="false">COUNTIF(Tracker!$B$2:$B$291,A53)</f>
        <v>8</v>
      </c>
      <c r="C53" s="7" t="n">
        <f aca="false">COUNTIFS(Tracker!$B$2:$B$291,A53,Tracker!$J$2:$J$291,"Compliant")</f>
        <v>0</v>
      </c>
      <c r="D53" s="7" t="str">
        <f aca="false">IF(B53=C53,"MET","not met")</f>
        <v>not met</v>
      </c>
    </row>
    <row r="54" customFormat="false" ht="15" hidden="false" customHeight="false" outlineLevel="0" collapsed="false">
      <c r="A54" s="7" t="s">
        <v>459</v>
      </c>
      <c r="B54" s="7" t="n">
        <f aca="false">COUNTIF(Tracker!$B$2:$B$291,A54)</f>
        <v>5</v>
      </c>
      <c r="C54" s="7" t="n">
        <f aca="false">COUNTIFS(Tracker!$B$2:$B$291,A54,Tracker!$J$2:$J$291,"Compliant")</f>
        <v>0</v>
      </c>
      <c r="D54" s="7" t="str">
        <f aca="false">IF(B54=C54,"MET","not met")</f>
        <v>not met</v>
      </c>
    </row>
    <row r="55" customFormat="false" ht="15" hidden="false" customHeight="false" outlineLevel="0" collapsed="false">
      <c r="A55" s="7" t="s">
        <v>472</v>
      </c>
      <c r="B55" s="7" t="n">
        <f aca="false">COUNTIF(Tracker!$B$2:$B$291,A55)</f>
        <v>6</v>
      </c>
      <c r="C55" s="7" t="n">
        <f aca="false">COUNTIFS(Tracker!$B$2:$B$291,A55,Tracker!$J$2:$J$291,"Compliant")</f>
        <v>0</v>
      </c>
      <c r="D55" s="7" t="str">
        <f aca="false">IF(B55=C55,"MET","not met")</f>
        <v>not met</v>
      </c>
    </row>
    <row r="56" customFormat="false" ht="15" hidden="false" customHeight="false" outlineLevel="0" collapsed="false">
      <c r="A56" s="7" t="s">
        <v>486</v>
      </c>
      <c r="B56" s="7" t="n">
        <f aca="false">COUNTIF(Tracker!$B$2:$B$291,A56)</f>
        <v>5</v>
      </c>
      <c r="C56" s="7" t="n">
        <f aca="false">COUNTIFS(Tracker!$B$2:$B$291,A56,Tracker!$J$2:$J$291,"Compliant")</f>
        <v>0</v>
      </c>
      <c r="D56" s="7" t="str">
        <f aca="false">IF(B56=C56,"MET","not met")</f>
        <v>not met</v>
      </c>
    </row>
    <row r="57" customFormat="false" ht="15" hidden="false" customHeight="false" outlineLevel="0" collapsed="false">
      <c r="A57" s="7" t="s">
        <v>501</v>
      </c>
      <c r="B57" s="7" t="n">
        <f aca="false">COUNTIF(Tracker!$B$2:$B$291,A57)</f>
        <v>5</v>
      </c>
      <c r="C57" s="7" t="n">
        <f aca="false">COUNTIFS(Tracker!$B$2:$B$291,A57,Tracker!$J$2:$J$291,"Compliant")</f>
        <v>0</v>
      </c>
      <c r="D57" s="7" t="str">
        <f aca="false">IF(B57=C57,"MET","not met")</f>
        <v>not met</v>
      </c>
    </row>
    <row r="58" customFormat="false" ht="15" hidden="false" customHeight="false" outlineLevel="0" collapsed="false">
      <c r="A58" s="7" t="s">
        <v>517</v>
      </c>
      <c r="B58" s="7" t="n">
        <f aca="false">COUNTIF(Tracker!$B$2:$B$291,A58)</f>
        <v>6</v>
      </c>
      <c r="C58" s="7" t="n">
        <f aca="false">COUNTIFS(Tracker!$B$2:$B$291,A58,Tracker!$J$2:$J$291,"Compliant")</f>
        <v>0</v>
      </c>
      <c r="D58" s="7" t="str">
        <f aca="false">IF(B58=C58,"MET","not met")</f>
        <v>not met</v>
      </c>
    </row>
    <row r="59" customFormat="false" ht="15" hidden="false" customHeight="false" outlineLevel="0" collapsed="false">
      <c r="A59" s="7" t="s">
        <v>533</v>
      </c>
      <c r="B59" s="7" t="n">
        <f aca="false">COUNTIF(Tracker!$B$2:$B$291,A59)</f>
        <v>5</v>
      </c>
      <c r="C59" s="7" t="n">
        <f aca="false">COUNTIFS(Tracker!$B$2:$B$291,A59,Tracker!$J$2:$J$291,"Compliant")</f>
        <v>0</v>
      </c>
      <c r="D59" s="7" t="str">
        <f aca="false">IF(B59=C59,"MET","not met")</f>
        <v>not met</v>
      </c>
    </row>
    <row r="60" customFormat="false" ht="15" hidden="false" customHeight="false" outlineLevel="0" collapsed="false">
      <c r="A60" s="7" t="s">
        <v>546</v>
      </c>
      <c r="B60" s="7" t="n">
        <f aca="false">COUNTIF(Tracker!$B$2:$B$291,A60)</f>
        <v>5</v>
      </c>
      <c r="C60" s="7" t="n">
        <f aca="false">COUNTIFS(Tracker!$B$2:$B$291,A60,Tracker!$J$2:$J$291,"Compliant")</f>
        <v>0</v>
      </c>
      <c r="D60" s="7" t="str">
        <f aca="false">IF(B60=C60,"MET","not met")</f>
        <v>not met</v>
      </c>
    </row>
    <row r="61" customFormat="false" ht="15" hidden="false" customHeight="false" outlineLevel="0" collapsed="false">
      <c r="A61" s="7" t="s">
        <v>559</v>
      </c>
      <c r="B61" s="7" t="n">
        <f aca="false">COUNTIF(Tracker!$B$2:$B$291,A61)</f>
        <v>7</v>
      </c>
      <c r="C61" s="7" t="n">
        <f aca="false">COUNTIFS(Tracker!$B$2:$B$291,A61,Tracker!$J$2:$J$291,"Compliant")</f>
        <v>0</v>
      </c>
      <c r="D61" s="7" t="str">
        <f aca="false">IF(B61=C61,"MET","not met")</f>
        <v>not met</v>
      </c>
    </row>
    <row r="62" customFormat="false" ht="15" hidden="false" customHeight="false" outlineLevel="0" collapsed="false">
      <c r="A62" s="7" t="s">
        <v>581</v>
      </c>
      <c r="B62" s="7" t="n">
        <f aca="false">COUNTIF(Tracker!$B$2:$B$291,A62)</f>
        <v>6</v>
      </c>
      <c r="C62" s="7" t="n">
        <f aca="false">COUNTIFS(Tracker!$B$2:$B$291,A62,Tracker!$J$2:$J$291,"Compliant")</f>
        <v>0</v>
      </c>
      <c r="D62" s="7" t="str">
        <f aca="false">IF(B62=C62,"MET","not met")</f>
        <v>not met</v>
      </c>
    </row>
    <row r="63" customFormat="false" ht="15" hidden="false" customHeight="false" outlineLevel="0" collapsed="false">
      <c r="A63" s="7" t="s">
        <v>599</v>
      </c>
      <c r="B63" s="7" t="n">
        <f aca="false">COUNTIF(Tracker!$B$2:$B$291,A63)</f>
        <v>5</v>
      </c>
      <c r="C63" s="7" t="n">
        <f aca="false">COUNTIFS(Tracker!$B$2:$B$291,A63,Tracker!$J$2:$J$291,"Compliant")</f>
        <v>0</v>
      </c>
      <c r="D63" s="7" t="str">
        <f aca="false">IF(B63=C63,"MET","not met")</f>
        <v>not met</v>
      </c>
    </row>
    <row r="64" customFormat="false" ht="15" hidden="false" customHeight="false" outlineLevel="0" collapsed="false">
      <c r="A64" s="7" t="s">
        <v>611</v>
      </c>
      <c r="B64" s="7" t="n">
        <f aca="false">COUNTIF(Tracker!$B$2:$B$291,A64)</f>
        <v>11</v>
      </c>
      <c r="C64" s="7" t="n">
        <f aca="false">COUNTIFS(Tracker!$B$2:$B$291,A64,Tracker!$J$2:$J$291,"Compliant")</f>
        <v>0</v>
      </c>
      <c r="D64" s="7" t="str">
        <f aca="false">IF(B64=C64,"MET","not met")</f>
        <v>not met</v>
      </c>
    </row>
    <row r="65" customFormat="false" ht="15" hidden="false" customHeight="false" outlineLevel="0" collapsed="false">
      <c r="A65" s="7" t="s">
        <v>646</v>
      </c>
      <c r="B65" s="7" t="n">
        <f aca="false">COUNTIF(Tracker!$B$2:$B$291,A65)</f>
        <v>6</v>
      </c>
      <c r="C65" s="7" t="n">
        <f aca="false">COUNTIFS(Tracker!$B$2:$B$291,A65,Tracker!$J$2:$J$291,"Compliant")</f>
        <v>0</v>
      </c>
      <c r="D65" s="7" t="str">
        <f aca="false">IF(B65=C65,"MET","not met")</f>
        <v>not met</v>
      </c>
    </row>
    <row r="66" customFormat="false" ht="15" hidden="false" customHeight="false" outlineLevel="0" collapsed="false">
      <c r="A66" s="7" t="s">
        <v>666</v>
      </c>
      <c r="B66" s="7" t="n">
        <f aca="false">COUNTIF(Tracker!$B$2:$B$291,A66)</f>
        <v>5</v>
      </c>
      <c r="C66" s="7" t="n">
        <f aca="false">COUNTIFS(Tracker!$B$2:$B$291,A66,Tracker!$J$2:$J$291,"Compliant")</f>
        <v>0</v>
      </c>
      <c r="D66" s="7" t="str">
        <f aca="false">IF(B66=C66,"MET","not met")</f>
        <v>not met</v>
      </c>
    </row>
    <row r="67" customFormat="false" ht="15" hidden="false" customHeight="false" outlineLevel="0" collapsed="false">
      <c r="A67" s="7" t="s">
        <v>684</v>
      </c>
      <c r="B67" s="7" t="n">
        <f aca="false">COUNTIF(Tracker!$B$2:$B$291,A67)</f>
        <v>7</v>
      </c>
      <c r="C67" s="7" t="n">
        <f aca="false">COUNTIFS(Tracker!$B$2:$B$291,A67,Tracker!$J$2:$J$291,"Compliant")</f>
        <v>0</v>
      </c>
      <c r="D67" s="7" t="str">
        <f aca="false">IF(B67=C67,"MET","not met")</f>
        <v>not met</v>
      </c>
    </row>
    <row r="68" customFormat="false" ht="15" hidden="false" customHeight="false" outlineLevel="0" collapsed="false">
      <c r="A68" s="7" t="s">
        <v>704</v>
      </c>
      <c r="B68" s="7" t="n">
        <f aca="false">COUNTIF(Tracker!$B$2:$B$291,A68)</f>
        <v>4</v>
      </c>
      <c r="C68" s="7" t="n">
        <f aca="false">COUNTIFS(Tracker!$B$2:$B$291,A68,Tracker!$J$2:$J$291,"Compliant")</f>
        <v>0</v>
      </c>
      <c r="D68" s="7" t="str">
        <f aca="false">IF(B68=C68,"MET","not met")</f>
        <v>not met</v>
      </c>
    </row>
    <row r="69" customFormat="false" ht="15" hidden="false" customHeight="false" outlineLevel="0" collapsed="false">
      <c r="A69" s="7" t="s">
        <v>716</v>
      </c>
      <c r="B69" s="7" t="n">
        <f aca="false">COUNTIF(Tracker!$B$2:$B$291,A69)</f>
        <v>5</v>
      </c>
      <c r="C69" s="7" t="n">
        <f aca="false">COUNTIFS(Tracker!$B$2:$B$291,A69,Tracker!$J$2:$J$291,"Compliant")</f>
        <v>0</v>
      </c>
      <c r="D69" s="7" t="str">
        <f aca="false">IF(B69=C69,"MET","not met")</f>
        <v>not met</v>
      </c>
    </row>
    <row r="70" customFormat="false" ht="15" hidden="false" customHeight="false" outlineLevel="0" collapsed="false">
      <c r="A70" s="7" t="s">
        <v>729</v>
      </c>
      <c r="B70" s="7" t="n">
        <f aca="false">COUNTIF(Tracker!$B$2:$B$291,A70)</f>
        <v>7</v>
      </c>
      <c r="C70" s="7" t="n">
        <f aca="false">COUNTIFS(Tracker!$B$2:$B$291,A70,Tracker!$J$2:$J$291,"Compliant")</f>
        <v>0</v>
      </c>
      <c r="D70" s="7" t="str">
        <f aca="false">IF(B70=C70,"MET","not met")</f>
        <v>not met</v>
      </c>
    </row>
    <row r="71" customFormat="false" ht="15" hidden="false" customHeight="false" outlineLevel="0" collapsed="false">
      <c r="A71" s="7" t="s">
        <v>751</v>
      </c>
      <c r="B71" s="7" t="n">
        <f aca="false">COUNTIF(Tracker!$B$2:$B$291,A71)</f>
        <v>6</v>
      </c>
      <c r="C71" s="7" t="n">
        <f aca="false">COUNTIFS(Tracker!$B$2:$B$291,A71,Tracker!$J$2:$J$291,"Compliant")</f>
        <v>0</v>
      </c>
      <c r="D71" s="7" t="str">
        <f aca="false">IF(B71=C71,"MET","not met")</f>
        <v>not met</v>
      </c>
    </row>
    <row r="72" customFormat="false" ht="15" hidden="false" customHeight="false" outlineLevel="0" collapsed="false">
      <c r="A72" s="7" t="s">
        <v>771</v>
      </c>
      <c r="B72" s="7" t="n">
        <f aca="false">COUNTIF(Tracker!$B$2:$B$291,A72)</f>
        <v>6</v>
      </c>
      <c r="C72" s="7" t="n">
        <f aca="false">COUNTIFS(Tracker!$B$2:$B$291,A72,Tracker!$J$2:$J$291,"Compliant")</f>
        <v>0</v>
      </c>
      <c r="D72" s="7" t="str">
        <f aca="false">IF(B72=C72,"MET","not met")</f>
        <v>not met</v>
      </c>
    </row>
    <row r="73" customFormat="false" ht="15" hidden="false" customHeight="false" outlineLevel="0" collapsed="false">
      <c r="A73" s="7" t="s">
        <v>790</v>
      </c>
      <c r="B73" s="7" t="n">
        <f aca="false">COUNTIF(Tracker!$B$2:$B$291,A73)</f>
        <v>8</v>
      </c>
      <c r="C73" s="7" t="n">
        <f aca="false">COUNTIFS(Tracker!$B$2:$B$291,A73,Tracker!$J$2:$J$291,"Compliant")</f>
        <v>0</v>
      </c>
      <c r="D73" s="7" t="str">
        <f aca="false">IF(B73=C73,"MET","not met")</f>
        <v>not met</v>
      </c>
    </row>
    <row r="74" customFormat="false" ht="15" hidden="false" customHeight="false" outlineLevel="0" collapsed="false">
      <c r="A74" s="7" t="s">
        <v>815</v>
      </c>
      <c r="B74" s="7" t="n">
        <f aca="false">COUNTIF(Tracker!$B$2:$B$291,A74)</f>
        <v>9</v>
      </c>
      <c r="C74" s="7" t="n">
        <f aca="false">COUNTIFS(Tracker!$B$2:$B$291,A74,Tracker!$J$2:$J$291,"Compliant")</f>
        <v>0</v>
      </c>
      <c r="D74" s="7" t="str">
        <f aca="false">IF(B74=C74,"MET","not met")</f>
        <v>not met</v>
      </c>
    </row>
    <row r="75" customFormat="false" ht="15" hidden="false" customHeight="false" outlineLevel="0" collapsed="false">
      <c r="A75" s="7" t="s">
        <v>841</v>
      </c>
      <c r="B75" s="7" t="n">
        <f aca="false">COUNTIF(Tracker!$B$2:$B$291,A75)</f>
        <v>5</v>
      </c>
      <c r="C75" s="7" t="n">
        <f aca="false">COUNTIFS(Tracker!$B$2:$B$291,A75,Tracker!$J$2:$J$291,"Compliant")</f>
        <v>0</v>
      </c>
      <c r="D75" s="7" t="str">
        <f aca="false">IF(B75=C75,"MET","not met")</f>
        <v>not met</v>
      </c>
    </row>
    <row r="76" customFormat="false" ht="15" hidden="false" customHeight="false" outlineLevel="0" collapsed="false">
      <c r="A76" s="7" t="s">
        <v>854</v>
      </c>
      <c r="B76" s="7" t="n">
        <f aca="false">COUNTIF(Tracker!$B$2:$B$291,A76)</f>
        <v>7</v>
      </c>
      <c r="C76" s="7" t="n">
        <f aca="false">COUNTIFS(Tracker!$B$2:$B$291,A76,Tracker!$J$2:$J$291,"Compliant")</f>
        <v>0</v>
      </c>
      <c r="D76" s="7" t="str">
        <f aca="false">IF(B76=C76,"MET","not met")</f>
        <v>not met</v>
      </c>
    </row>
    <row r="77" customFormat="false" ht="15" hidden="false" customHeight="false" outlineLevel="0" collapsed="false">
      <c r="A77" s="7" t="s">
        <v>875</v>
      </c>
      <c r="B77" s="7" t="n">
        <f aca="false">COUNTIF(Tracker!$B$2:$B$291,A77)</f>
        <v>6</v>
      </c>
      <c r="C77" s="7" t="n">
        <f aca="false">COUNTIFS(Tracker!$B$2:$B$291,A77,Tracker!$J$2:$J$291,"Compliant")</f>
        <v>0</v>
      </c>
      <c r="D77" s="7" t="str">
        <f aca="false">IF(B77=C77,"MET","not met")</f>
        <v>not met</v>
      </c>
    </row>
    <row r="78" customFormat="false" ht="15" hidden="false" customHeight="false" outlineLevel="0" collapsed="false">
      <c r="A78" s="7"/>
      <c r="B78" s="7"/>
      <c r="C78" s="7"/>
      <c r="D78" s="7"/>
    </row>
    <row r="79" customFormat="false" ht="15" hidden="false" customHeight="false" outlineLevel="0" collapsed="false">
      <c r="A79" s="10" t="s">
        <v>914</v>
      </c>
      <c r="B79" s="10" t="n">
        <f aca="false">COUNTIF(D34:D77,"MET")</f>
        <v>0</v>
      </c>
      <c r="C79" s="7"/>
      <c r="D79" s="7"/>
    </row>
    <row r="80" customFormat="false" ht="15" hidden="false" customHeight="false" outlineLevel="0" collapsed="false">
      <c r="A80" s="8" t="s">
        <v>915</v>
      </c>
      <c r="B80" s="7"/>
      <c r="C80" s="7"/>
      <c r="D80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6"/>
  </cols>
  <sheetData>
    <row r="3" customFormat="false" ht="15" hidden="false" customHeight="true" outlineLevel="0" collapsed="false">
      <c r="A3" s="7"/>
      <c r="B3" s="12"/>
    </row>
    <row r="4" customFormat="false" ht="30" hidden="false" customHeight="true" outlineLevel="0" collapsed="false">
      <c r="A4" s="10" t="s">
        <v>916</v>
      </c>
      <c r="B4" s="12" t="s">
        <v>917</v>
      </c>
    </row>
    <row r="5" customFormat="false" ht="15" hidden="false" customHeight="true" outlineLevel="0" collapsed="false">
      <c r="A5" s="7"/>
      <c r="B5" s="12"/>
    </row>
    <row r="6" customFormat="false" ht="15" hidden="false" customHeight="true" outlineLevel="0" collapsed="false">
      <c r="A6" s="10" t="s">
        <v>918</v>
      </c>
      <c r="B6" s="12" t="s">
        <v>919</v>
      </c>
    </row>
    <row r="7" customFormat="false" ht="30" hidden="false" customHeight="true" outlineLevel="0" collapsed="false">
      <c r="A7" s="10" t="s">
        <v>898</v>
      </c>
      <c r="B7" s="12" t="s">
        <v>920</v>
      </c>
    </row>
    <row r="8" customFormat="false" ht="30" hidden="false" customHeight="true" outlineLevel="0" collapsed="false">
      <c r="A8" s="10" t="s">
        <v>897</v>
      </c>
      <c r="B8" s="12" t="s">
        <v>921</v>
      </c>
    </row>
    <row r="9" customFormat="false" ht="30" hidden="false" customHeight="true" outlineLevel="0" collapsed="false">
      <c r="A9" s="10" t="s">
        <v>899</v>
      </c>
      <c r="B9" s="12" t="s">
        <v>922</v>
      </c>
    </row>
    <row r="10" customFormat="false" ht="15" hidden="false" customHeight="true" outlineLevel="0" collapsed="false">
      <c r="A10" s="7"/>
      <c r="B10" s="12"/>
    </row>
    <row r="11" customFormat="false" ht="15" hidden="false" customHeight="true" outlineLevel="0" collapsed="false">
      <c r="A11" s="10" t="s">
        <v>5</v>
      </c>
      <c r="B11" s="12" t="s">
        <v>923</v>
      </c>
    </row>
    <row r="12" customFormat="false" ht="15" hidden="false" customHeight="true" outlineLevel="0" collapsed="false">
      <c r="A12" s="7" t="s">
        <v>924</v>
      </c>
      <c r="B12" s="12" t="s">
        <v>925</v>
      </c>
    </row>
    <row r="13" customFormat="false" ht="15" hidden="false" customHeight="true" outlineLevel="0" collapsed="false">
      <c r="A13" s="7" t="s">
        <v>926</v>
      </c>
      <c r="B13" s="12" t="s">
        <v>927</v>
      </c>
    </row>
    <row r="14" customFormat="false" ht="30" hidden="false" customHeight="true" outlineLevel="0" collapsed="false">
      <c r="A14" s="7" t="s">
        <v>928</v>
      </c>
      <c r="B14" s="12" t="s">
        <v>929</v>
      </c>
    </row>
    <row r="15" customFormat="false" ht="15" hidden="false" customHeight="true" outlineLevel="0" collapsed="false">
      <c r="A15" s="7" t="s">
        <v>930</v>
      </c>
      <c r="B15" s="12" t="s">
        <v>931</v>
      </c>
    </row>
    <row r="16" customFormat="false" ht="15" hidden="false" customHeight="true" outlineLevel="0" collapsed="false">
      <c r="A16" s="7"/>
      <c r="B16" s="12"/>
    </row>
    <row r="17" customFormat="false" ht="15" hidden="false" customHeight="true" outlineLevel="0" collapsed="false">
      <c r="A17" s="10" t="s">
        <v>6</v>
      </c>
      <c r="B17" s="12" t="s">
        <v>932</v>
      </c>
    </row>
    <row r="18" customFormat="false" ht="15" hidden="false" customHeight="true" outlineLevel="0" collapsed="false">
      <c r="A18" s="10" t="s">
        <v>7</v>
      </c>
      <c r="B18" s="12" t="s">
        <v>933</v>
      </c>
    </row>
    <row r="19" customFormat="false" ht="30" hidden="false" customHeight="true" outlineLevel="0" collapsed="false">
      <c r="A19" s="10" t="s">
        <v>8</v>
      </c>
      <c r="B19" s="12" t="s">
        <v>934</v>
      </c>
    </row>
    <row r="20" customFormat="false" ht="15" hidden="false" customHeight="true" outlineLevel="0" collapsed="false">
      <c r="A20" s="7"/>
      <c r="B20" s="12"/>
    </row>
    <row r="21" customFormat="false" ht="30" hidden="false" customHeight="true" outlineLevel="0" collapsed="false">
      <c r="A21" s="10" t="s">
        <v>935</v>
      </c>
      <c r="B21" s="12" t="s">
        <v>936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2026-08-25T18:10:42Z</dcterms:created>
  <dc:creator>openpyxl</dc:creator>
  <dc:description/>
  <dc:language>en-US</dc:language>
  <cp:lastModifiedBy/>
  <dcterms:modified xsi:type="dcterms:W3CDTF">2026-08-25T18:10:42Z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